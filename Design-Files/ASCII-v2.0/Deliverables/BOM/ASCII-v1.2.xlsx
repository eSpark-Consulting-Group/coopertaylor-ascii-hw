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<sst xmlns="http://schemas.openxmlformats.org/spreadsheetml/2006/main" count="554" uniqueCount="391">
  <si>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</si>
  <si>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</si>
  <si>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</si>
  <si>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</si>
  <si>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</si>
  <si>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</si>
  <si>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</si>
  <si>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</si>
  <si>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</si>
  <si>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#Column Name Error:' Remarks</t>
  </si>
  <si>
    <t>Capacitor</t>
  </si>
  <si>
    <t>C1, C2, C12, C18, C20, C81, C83,C84</t>
  </si>
  <si>
    <t>CAP CER 0.1UF 25V X7R 0402</t>
  </si>
  <si>
    <t>Cap-0402</t>
  </si>
  <si>
    <t>CC0402KRX7R8BB104</t>
  </si>
  <si>
    <t>Yageo</t>
  </si>
  <si>
    <t>0.1uF</t>
  </si>
  <si>
    <t>C3, C27, C29, C78,C19,C82</t>
  </si>
  <si>
    <t>CAP CER 10UF 25V X5R 0603</t>
  </si>
  <si>
    <t>Cap-0603</t>
  </si>
  <si>
    <t>CL10A106MA8NRNC</t>
  </si>
  <si>
    <t>Samsung</t>
  </si>
  <si>
    <t>10uF</t>
  </si>
  <si>
    <t>C4, C7, C8, C9, C15, C21, C22, C23</t>
  </si>
  <si>
    <t>CAP CER 47UF 25V X5R 1206</t>
  </si>
  <si>
    <t>Cap-1206</t>
  </si>
  <si>
    <t>GRM31CR61E476ME44L</t>
  </si>
  <si>
    <t>Murata</t>
  </si>
  <si>
    <t>47uF</t>
  </si>
  <si>
    <t>C5, C6, C13, C14, C32, C34, C37, C41, C46, C49, C51, C56, C61</t>
  </si>
  <si>
    <t>25V 4.7uF X5R ±20% 0402 Multilayer Ceramic Capacitors MLCC - SMD/SMT ROHS</t>
  </si>
  <si>
    <t>CGA0402X5R475M250GT</t>
  </si>
  <si>
    <t>HRE</t>
  </si>
  <si>
    <t>4.7uF</t>
  </si>
  <si>
    <t>C10</t>
  </si>
  <si>
    <t>CAP CER 6.8PF 50V C0G/NPO 0402</t>
  </si>
  <si>
    <t>CC0402CRNPO9BN6R8</t>
  </si>
  <si>
    <t>6.8pF</t>
  </si>
  <si>
    <t>C11</t>
  </si>
  <si>
    <t>CAP CER 5600PF 50V X7R 0402</t>
  </si>
  <si>
    <t>CC0402KRX7R9BB562</t>
  </si>
  <si>
    <t>5.6nF</t>
  </si>
  <si>
    <t>C16</t>
  </si>
  <si>
    <t>CAP CER 8.2PF 50V C0G/NPO 0402</t>
  </si>
  <si>
    <t>CC0402DRNPO9BN8R2</t>
  </si>
  <si>
    <t>8.2pF</t>
  </si>
  <si>
    <t>C17, C25</t>
  </si>
  <si>
    <t>50V 1.8nF X7R ±10% 0402 Multilayer Ceramic Capacitors MLCC - SMD/SMT ROHS</t>
  </si>
  <si>
    <t>CC0402KRX7R9BB182</t>
  </si>
  <si>
    <t>1.8nF</t>
  </si>
  <si>
    <t>C24</t>
  </si>
  <si>
    <t>CAP CER 18PF 50V C0G/NP0 0603</t>
  </si>
  <si>
    <t>CL10C180JB8NNNC</t>
  </si>
  <si>
    <t>18pF</t>
  </si>
  <si>
    <t>C26, C30, C31, C40</t>
  </si>
  <si>
    <t>CAP CER 1UF 16V X5R 0402</t>
  </si>
  <si>
    <t>CC0402KRX5R7BB105</t>
  </si>
  <si>
    <t>1uF</t>
  </si>
  <si>
    <t>C28</t>
  </si>
  <si>
    <t>CAP CER 470PF 50V X7R 0603</t>
  </si>
  <si>
    <t>0603B471K500CT</t>
  </si>
  <si>
    <t>Walsin Technologies</t>
  </si>
  <si>
    <t>470pF</t>
  </si>
  <si>
    <t>C33, C35, C36, C38, C39, C53, C58, C59, C63, C64, C65, C66, C67, C68, C69, C70, C71, C75, C79</t>
  </si>
  <si>
    <t>CAP CER 0.22UF 25V X5R 0402</t>
  </si>
  <si>
    <t>CC0402KRX5R8BB224</t>
  </si>
  <si>
    <t>0.22uF</t>
  </si>
  <si>
    <t>C42, C43, C44, C45, C47, C48, C50, C52, C54, C55, C60, C80</t>
  </si>
  <si>
    <t>CAP CER 0.1UF 50V X7R 0402</t>
  </si>
  <si>
    <t>cap-0402</t>
  </si>
  <si>
    <t>C1005X7R1H104KT000F</t>
  </si>
  <si>
    <t>TDK</t>
  </si>
  <si>
    <t>100nF</t>
  </si>
  <si>
    <t>C57, C62</t>
  </si>
  <si>
    <t>CAP CER 22UF 10V X5R 0603</t>
  </si>
  <si>
    <t>CC0603MRX5R6BB226</t>
  </si>
  <si>
    <t>22uF</t>
  </si>
  <si>
    <t>C72, C73, C76, C77</t>
  </si>
  <si>
    <t>CAP CER 12PF 50V C0G/NP0 0402</t>
  </si>
  <si>
    <t>GJM1555C1H120GB01D</t>
  </si>
  <si>
    <t>12pF</t>
  </si>
  <si>
    <t>C74</t>
  </si>
  <si>
    <t>10V 33uF X5R ±20% 1206 ROHS</t>
  </si>
  <si>
    <t>C3216X5R1A336MTJ00N</t>
  </si>
  <si>
    <t>33uF</t>
  </si>
  <si>
    <t>Diode</t>
  </si>
  <si>
    <t>D1, D2, D4</t>
  </si>
  <si>
    <t>DIODE SCHOTTKY 60V 5A SMA</t>
  </si>
  <si>
    <t>SMA</t>
  </si>
  <si>
    <t>SS56</t>
  </si>
  <si>
    <t>MDD</t>
  </si>
  <si>
    <t>-</t>
  </si>
  <si>
    <t>D3</t>
  </si>
  <si>
    <t>40V 3A 550mV@3A SMA(DO-214AC) Schottky Diodes ROHS</t>
  </si>
  <si>
    <t>SMA(DO-214AC)</t>
  </si>
  <si>
    <t>SS34-MS</t>
  </si>
  <si>
    <t>MSKSEMI</t>
  </si>
  <si>
    <t>D5</t>
  </si>
  <si>
    <t>DIODE SCHOTTKY 30V 1A SOD123W</t>
  </si>
  <si>
    <t>SOD-123W</t>
  </si>
  <si>
    <t>PMEG3010ER,115</t>
  </si>
  <si>
    <t>Nexperia</t>
  </si>
  <si>
    <t>D6</t>
  </si>
  <si>
    <t>TVS DIODE 5VWM 6.3VC DSN0603-2</t>
  </si>
  <si>
    <t>DSN0603-2</t>
  </si>
  <si>
    <t>PESD5V0H1BSFYL</t>
  </si>
  <si>
    <t>D7</t>
  </si>
  <si>
    <t>16A 20V 7V 5V@Max Unidirectional SOT-23 TVS ROHS</t>
  </si>
  <si>
    <t>Sot-23</t>
  </si>
  <si>
    <t>ESD5302F-3/TR</t>
  </si>
  <si>
    <t>WILLSEMI</t>
  </si>
  <si>
    <t>D8, D9, D10</t>
  </si>
  <si>
    <t>DIODE SCHOTTKY 30V 200MA SOD523</t>
  </si>
  <si>
    <t>SOD-523</t>
  </si>
  <si>
    <t>RB521S30T1G</t>
  </si>
  <si>
    <t>ON Semiconductor</t>
  </si>
  <si>
    <t>Fuse</t>
  </si>
  <si>
    <t>F1</t>
  </si>
  <si>
    <t>6V 500mA 40A 1A 0603 Resettable Fuses ROHS</t>
  </si>
  <si>
    <t>Fuse-0603</t>
  </si>
  <si>
    <t>SMD0603-050</t>
  </si>
  <si>
    <t>TECHFUSE</t>
  </si>
  <si>
    <t>Ferrite Bead</t>
  </si>
  <si>
    <t>FB1, FB2</t>
  </si>
  <si>
    <t>FERRITE BEAD 120 OHM 0402 1LN</t>
  </si>
  <si>
    <t>IND-0402</t>
  </si>
  <si>
    <t>BLM15PD121SN1D</t>
  </si>
  <si>
    <t>Wire To Board Connector</t>
  </si>
  <si>
    <t>J1, J2, J3, J5, J6, J16, J19</t>
  </si>
  <si>
    <t>1x2P 2P XH 1 2.5mm Tin 2 -25℃~+85℃ Brass 3A Direct Insert Plugin,P=2.5mm Wire To Board Connector ROHS</t>
  </si>
  <si>
    <t>2.54-2P ZZDK</t>
  </si>
  <si>
    <t>SHOU HAN</t>
  </si>
  <si>
    <t>Headers</t>
  </si>
  <si>
    <t>J4</t>
  </si>
  <si>
    <t>CONN HEADER VERT 2POS 2.5MM</t>
  </si>
  <si>
    <t>B2B-XH-2(LF)(SN)</t>
  </si>
  <si>
    <t>JST</t>
  </si>
  <si>
    <t>Male Header</t>
  </si>
  <si>
    <t>J7</t>
  </si>
  <si>
    <t>Gold 250V 3A Straight Square Pins 2.5mm 4P 260℃ 6mm -40℃~+105℃ 3mm 2.54mm Plugin Black Brass 1x4P Plugin,P=2.54mm Pin Headers ROHS</t>
  </si>
  <si>
    <t>HDR1X4_</t>
  </si>
  <si>
    <t>X6511WV-04H-C60D30</t>
  </si>
  <si>
    <t>XKB</t>
  </si>
  <si>
    <t>Connectors</t>
  </si>
  <si>
    <t>J8</t>
  </si>
  <si>
    <t>CONN HEADER VERT 18POS 2.54MM</t>
  </si>
  <si>
    <t>TSW-106-07-T-T</t>
  </si>
  <si>
    <t>Samtec</t>
  </si>
  <si>
    <t>JST Connector</t>
  </si>
  <si>
    <t>J9, J10, J11, J13</t>
  </si>
  <si>
    <t>CONN HEADER VERT 3POS 2.5MM</t>
  </si>
  <si>
    <t>B3B-XH-A(LF)(SN)_</t>
  </si>
  <si>
    <t>B3B-XH-A(LF)(SN)</t>
  </si>
  <si>
    <t>Micro-B Connector</t>
  </si>
  <si>
    <t>J12, J18</t>
  </si>
  <si>
    <t>Female Micro-B SMD USB Connectors ROHS</t>
  </si>
  <si>
    <t>HX MICRO XNJ JB</t>
  </si>
  <si>
    <t>HANXIA</t>
  </si>
  <si>
    <t>MicroSD</t>
  </si>
  <si>
    <t>J14</t>
  </si>
  <si>
    <t>-40℃~+70℃ 1.8mm Gold Card Slot MicroSD card (TF card) Brass Alloy Self-bouncing SMD SD Card / Memory Card Connector ROHS</t>
  </si>
  <si>
    <t>HX TF-CARD H1.8</t>
  </si>
  <si>
    <t>hanxia</t>
  </si>
  <si>
    <t>Cell Holder</t>
  </si>
  <si>
    <t>J15</t>
  </si>
  <si>
    <t>Battery holder -40℃~+85℃ Gold Copper end CR2032 SMD Button And Strip Battery Connector ROHS</t>
  </si>
  <si>
    <t>BS-CR2032-8</t>
  </si>
  <si>
    <t>Lian Xin Technology</t>
  </si>
  <si>
    <t>Jtag Male Header</t>
  </si>
  <si>
    <t>J17</t>
  </si>
  <si>
    <t>CONN HEADER SMD 10POS 1.27MM</t>
  </si>
  <si>
    <t>20021121-00010C4LF_</t>
  </si>
  <si>
    <t>20021121-00010C4LF</t>
  </si>
  <si>
    <t>Amphenol FCI</t>
  </si>
  <si>
    <t>Connector</t>
  </si>
  <si>
    <t>J20</t>
  </si>
  <si>
    <t>1x6P SH 1 1mm 6 SMD,P=1mm Wire To Board / Wire To Wire Connector ROHS</t>
  </si>
  <si>
    <t>Voltlink Target</t>
  </si>
  <si>
    <t>C145963</t>
  </si>
  <si>
    <t>BOOMELE</t>
  </si>
  <si>
    <t>J21</t>
  </si>
  <si>
    <t>Connector Header, Side Entry, SR Series, 4 Position, 1.00mm, 50V, Surface Mount, Tin, Natural</t>
  </si>
  <si>
    <t>SM04B-SRSS-TB(LF)(SN)</t>
  </si>
  <si>
    <t>Inductor</t>
  </si>
  <si>
    <t>L1,L2</t>
  </si>
  <si>
    <t>5.5A 2.2uH ±20% 7.5A SMD,5.2x5.4x3mm Power Inductors ROHS</t>
  </si>
  <si>
    <t>PSPMAA0503-2R2M-ANP</t>
  </si>
  <si>
    <t>PROD Tech</t>
  </si>
  <si>
    <t>2.2uH</t>
  </si>
  <si>
    <t>L3</t>
  </si>
  <si>
    <t>7.8A 1uH ±30% 11A SMD,7.9x8.2mm Power Inductors ROHS</t>
  </si>
  <si>
    <t>SRN8040-1R0Y</t>
  </si>
  <si>
    <t>BOURNS</t>
  </si>
  <si>
    <t>1uH</t>
  </si>
  <si>
    <t>L4</t>
  </si>
  <si>
    <t>1.4A 12uH ±20% SMD,5.2x5.8mm Power Inductors ROHS</t>
  </si>
  <si>
    <t>SMTDR54-120M</t>
  </si>
  <si>
    <t>3L COILS</t>
  </si>
  <si>
    <t>12uH</t>
  </si>
  <si>
    <t>L5</t>
  </si>
  <si>
    <t>FIXED IND 4.7UH 1.6A 157MOHM SMD</t>
  </si>
  <si>
    <t>IND-1210</t>
  </si>
  <si>
    <t>DFE322512F-4R7M=P2</t>
  </si>
  <si>
    <t>4.7uH</t>
  </si>
  <si>
    <t>LEDs</t>
  </si>
  <si>
    <t>LED1</t>
  </si>
  <si>
    <t>LED BLUE CLEAR 0805 SMD</t>
  </si>
  <si>
    <t>LED-0805</t>
  </si>
  <si>
    <t>150080BS75000</t>
  </si>
  <si>
    <t>Wurth Electronics</t>
  </si>
  <si>
    <t>LED2</t>
  </si>
  <si>
    <t>Colorless transparence -30℃~+85℃ 601nm~603nm Positive post Orange 120° 55mW 0805 Light Emitting Diodes (LED) ROHS</t>
  </si>
  <si>
    <t>XL-2012UOC</t>
  </si>
  <si>
    <t>XINGLIGHT</t>
  </si>
  <si>
    <t>Resistor</t>
  </si>
  <si>
    <t>R1</t>
  </si>
  <si>
    <t>RES SMD 270 OHM 0.1% 1/10W 0603</t>
  </si>
  <si>
    <t>Res-0603</t>
  </si>
  <si>
    <t>RT0603BRE07270RL</t>
  </si>
  <si>
    <t>270R</t>
  </si>
  <si>
    <t>R2</t>
  </si>
  <si>
    <t>62.5mW Thick Film Resistors 50V ±1% ±200ppm/℃ 115kΩ 0402 Chip Resistor - Surface Mount ROHS</t>
  </si>
  <si>
    <t>Res-0402</t>
  </si>
  <si>
    <t>CR0402FF1153G</t>
  </si>
  <si>
    <t>LIZ Elec</t>
  </si>
  <si>
    <t>115K</t>
  </si>
  <si>
    <t>R3</t>
  </si>
  <si>
    <t>62.5mW 100V ±1% 28.7kΩ 0402 Chip Resistor - Surface Mount ROHS</t>
  </si>
  <si>
    <t>NQ02WGF2872TCE</t>
  </si>
  <si>
    <t>Royal Ohm</t>
  </si>
  <si>
    <t>28.7K</t>
  </si>
  <si>
    <t>R4</t>
  </si>
  <si>
    <t>62.5mW Thick Film Resistors 50V ±100ppm/℃ ±1% 105kΩ 0402 Chip Resistor - Surface Mount ROHS</t>
  </si>
  <si>
    <t>RTT021053FTH</t>
  </si>
  <si>
    <t>RALEC</t>
  </si>
  <si>
    <t>105K</t>
  </si>
  <si>
    <t>R5</t>
  </si>
  <si>
    <t>RES SMD 12.1KOHM 0.1% 1/16W 0402</t>
  </si>
  <si>
    <t>RT0402BRD0712K1L</t>
  </si>
  <si>
    <t>12.1k</t>
  </si>
  <si>
    <t>R6</t>
  </si>
  <si>
    <t>60.4kΩ 50V 62.5mW Thick Film Resistors ±1% 0402 Chip Resistor - Surface Mount ROHS</t>
  </si>
  <si>
    <t>SCR0402F60K4</t>
  </si>
  <si>
    <t>VO</t>
  </si>
  <si>
    <t>60.4K</t>
  </si>
  <si>
    <t>R7</t>
  </si>
  <si>
    <t>RES SMD 23.7KOHM 0.1% 1/16W 0402</t>
  </si>
  <si>
    <t>RT0402BRD0723K7L</t>
  </si>
  <si>
    <t>23.7K</t>
  </si>
  <si>
    <t>R8</t>
  </si>
  <si>
    <t>RES SMD 80.6K OHM 1% 1/16W 0402</t>
  </si>
  <si>
    <t>CRCW040280K6FKED</t>
  </si>
  <si>
    <t>Vishay Intertech</t>
  </si>
  <si>
    <t>80.6K</t>
  </si>
  <si>
    <t>R9, R20</t>
  </si>
  <si>
    <t>11.5kΩ 50V 62.5mW Thick Film Resistors ±100ppm/℃ ±1%  0402 Chip Resistor - Surface Mount ROHS</t>
  </si>
  <si>
    <t>FRC0402F1152TS</t>
  </si>
  <si>
    <t>FOJAN</t>
  </si>
  <si>
    <t>11.5K</t>
  </si>
  <si>
    <t>R10</t>
  </si>
  <si>
    <t>500mW 6mΩ ±50ppm/℃ ±1% 0805 Current Sense Resistors / Shunt Resistors ROHS</t>
  </si>
  <si>
    <t>RES-0805</t>
  </si>
  <si>
    <t>RLM10FTSMR006</t>
  </si>
  <si>
    <t>TA-I Tech</t>
  </si>
  <si>
    <t>6mR</t>
  </si>
  <si>
    <t>R11, R12, R14, R15, R16, R27, R29,R30</t>
  </si>
  <si>
    <t>RES SMD 10K OHM 0.1% 1/16W 0402</t>
  </si>
  <si>
    <t>RT0402BRD0710KL</t>
  </si>
  <si>
    <t>10K</t>
  </si>
  <si>
    <t>R13</t>
  </si>
  <si>
    <t>62.5mW ±1% 2kΩ 0402 Chip Resistor - Surface Mount ROHS</t>
  </si>
  <si>
    <t>RMC04022K1%N</t>
  </si>
  <si>
    <t>TyoHM</t>
  </si>
  <si>
    <t>2K</t>
  </si>
  <si>
    <t>R17</t>
  </si>
  <si>
    <t>RES 36.5K OHM 1% 1/10W 0603</t>
  </si>
  <si>
    <t>RC0603FR-0736K5L</t>
  </si>
  <si>
    <t>36.5K</t>
  </si>
  <si>
    <t>R18</t>
  </si>
  <si>
    <t>100mW Thick Film Resistors 75V ±100ppm/℃ ±1% 15.4kΩ 0603 Chip Resistor - Surface Mount ROHS</t>
  </si>
  <si>
    <t>RC0603FR-0715K4L</t>
  </si>
  <si>
    <t>15.4K</t>
  </si>
  <si>
    <t>R19</t>
  </si>
  <si>
    <t>RES 75K OHM 1% 1/10W 0603</t>
  </si>
  <si>
    <t>RC0603FR-0775KL</t>
  </si>
  <si>
    <t>75K</t>
  </si>
  <si>
    <t>R21</t>
  </si>
  <si>
    <t>RES 118K OHM 0.5% 1/16W 0402</t>
  </si>
  <si>
    <t>RC0402DR-07118KL</t>
  </si>
  <si>
    <t>118K</t>
  </si>
  <si>
    <t>R22</t>
  </si>
  <si>
    <t>RES SMD 13.3KOHM 0.1% 1/10W 0603</t>
  </si>
  <si>
    <t>RT0603BRD0713K3L</t>
  </si>
  <si>
    <t>13.3K</t>
  </si>
  <si>
    <t>R23, R24</t>
  </si>
  <si>
    <t>RES 100K OHM 1% 1/16W 0402</t>
  </si>
  <si>
    <t>RC0402FR-07100KL</t>
  </si>
  <si>
    <t>100K</t>
  </si>
  <si>
    <t>R25</t>
  </si>
  <si>
    <t>RES SMD 1K OHM 1% 1/10W 0603</t>
  </si>
  <si>
    <t>RC0603FR-071KL</t>
  </si>
  <si>
    <t>1K</t>
  </si>
  <si>
    <t>R26</t>
  </si>
  <si>
    <t>RES 130 OHM 1% 1/10W 0603</t>
  </si>
  <si>
    <t>RC0603FR-07130RL</t>
  </si>
  <si>
    <t>130R</t>
  </si>
  <si>
    <t>R28</t>
  </si>
  <si>
    <t>RES SMD 1M OHM 1% 1/10W 0603</t>
  </si>
  <si>
    <t>RC0603FR-071ML</t>
  </si>
  <si>
    <t>1M</t>
  </si>
  <si>
    <t>Switch</t>
  </si>
  <si>
    <t>SW1, SW2, SW3, SW4, SW5, SW6</t>
  </si>
  <si>
    <t>SWITCH TACTILE SPST-NO 0.05A 12V</t>
  </si>
  <si>
    <t>B3U-1000P</t>
  </si>
  <si>
    <t>Omron</t>
  </si>
  <si>
    <t>Voltage Regulators - Switching</t>
  </si>
  <si>
    <t>U1, U2, U3</t>
  </si>
  <si>
    <t>IC REG BCK SPLIT RAIL ADJ 8SOPWR</t>
  </si>
  <si>
    <t>8-SO PowerPad</t>
  </si>
  <si>
    <t>TPS54560DDAR</t>
  </si>
  <si>
    <t>Texas Instruments</t>
  </si>
  <si>
    <t>IC</t>
  </si>
  <si>
    <t>U4</t>
  </si>
  <si>
    <t>SMD,12.5x13.2mm WiFi Modules ROHS</t>
  </si>
  <si>
    <t>ESP32-C3-MINI-1U-H4.</t>
  </si>
  <si>
    <t>ESP32-C3-MINI-1U-H4</t>
  </si>
  <si>
    <t>Espressif Systems</t>
  </si>
  <si>
    <t>U5</t>
  </si>
  <si>
    <t>IC CURRENT MONITOR SOT25</t>
  </si>
  <si>
    <t>SOT-23-5</t>
  </si>
  <si>
    <t>ZXCT1086E5TA</t>
  </si>
  <si>
    <t>Diodes</t>
  </si>
  <si>
    <t>U6</t>
  </si>
  <si>
    <t>GY-521 6DOF 3 Axis Analog Gyro Sensor + 3 Axis Accelerometer Module</t>
  </si>
  <si>
    <t>MPU6050_</t>
  </si>
  <si>
    <t>MPU6050</t>
  </si>
  <si>
    <t>U7</t>
  </si>
  <si>
    <t>DIP-8 Real Time Clocks ROHS</t>
  </si>
  <si>
    <t>8-PDIP</t>
  </si>
  <si>
    <t>DS1307N</t>
  </si>
  <si>
    <t>Maxim</t>
  </si>
  <si>
    <t>U8</t>
  </si>
  <si>
    <t>IC REG BOOST ADJ 1.8A SOT23-5</t>
  </si>
  <si>
    <t>LMR62014XMFX/NOPB</t>
  </si>
  <si>
    <t>TI National Semiconductor</t>
  </si>
  <si>
    <t>U9</t>
  </si>
  <si>
    <t>IC MCU 32BIT EXT MEM 196LFBGA</t>
  </si>
  <si>
    <t>196-LFBGA (12x12)</t>
  </si>
  <si>
    <t>MIMXRT1062DVJ6B</t>
  </si>
  <si>
    <t>NXP Semiconductors</t>
  </si>
  <si>
    <t>U10</t>
  </si>
  <si>
    <t>IC FLASH 64MBIT SPI/QUAD 8SOIC</t>
  </si>
  <si>
    <t>SOIC-8 (208 mil)</t>
  </si>
  <si>
    <t>W25Q64JVSSIM</t>
  </si>
  <si>
    <t>Winbond</t>
  </si>
  <si>
    <t>U11</t>
  </si>
  <si>
    <t>3-Pin uP Reset Circuits with Ope</t>
  </si>
  <si>
    <t>SOT-23</t>
  </si>
  <si>
    <t>UM803RS</t>
  </si>
  <si>
    <t>Union Semiconductor</t>
  </si>
  <si>
    <t>U12</t>
  </si>
  <si>
    <t>IC EEPROM 64KBIT I2C 1MHZ 8TSSOP</t>
  </si>
  <si>
    <t>8-TSSOP</t>
  </si>
  <si>
    <t>M24C64-FDW6TP</t>
  </si>
  <si>
    <t>STMicroelectronics</t>
  </si>
  <si>
    <t>U13</t>
  </si>
  <si>
    <t>IC MCU 32BIT 32KB FLASH 16QFN</t>
  </si>
  <si>
    <t>16-QFN (3x3).</t>
  </si>
  <si>
    <t>MKL02Z32VFG4</t>
  </si>
  <si>
    <t>NXP USA</t>
  </si>
  <si>
    <t>Module</t>
  </si>
  <si>
    <t>U14</t>
  </si>
  <si>
    <t>Module WiFi Modules ROHS</t>
  </si>
  <si>
    <t>38-SMD Module</t>
  </si>
  <si>
    <t xml:space="preserve">    ESP32-WROOM-32E-N4</t>
  </si>
  <si>
    <t>Crystal</t>
  </si>
  <si>
    <t>X1</t>
  </si>
  <si>
    <t>DT-26 Crystals ROHS</t>
  </si>
  <si>
    <t>DT-26</t>
  </si>
  <si>
    <t>DT-26 32.768KHz</t>
  </si>
  <si>
    <t>KDS Daishinku</t>
  </si>
  <si>
    <t>X2</t>
  </si>
  <si>
    <t>24MHz SMD Crystal Resonator 12pF ±10ppm ±30ppm -40℃~+85℃ SMD3225-4P Crystals ROHS</t>
  </si>
  <si>
    <t>X322524MOB4SI-</t>
  </si>
  <si>
    <t>X322524MOB4SI</t>
  </si>
  <si>
    <t>Yangxing Tech</t>
  </si>
  <si>
    <t>X3</t>
  </si>
  <si>
    <t>CRYSTAL 32.7680KHZ 12.5PF SMD</t>
  </si>
  <si>
    <t>NX3215SA-32.768K-STD-MUA-8_</t>
  </si>
  <si>
    <t>NX3215SA-32.768K-STD-MUA-8</t>
  </si>
  <si>
    <t>NDK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</si>
</sst>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80"/>
  <sheetViews>
    <sheetView tabSelected="1" topLeftCell="C47" workbookViewId="0">
      <selection activeCell="H57" sqref="H57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15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8</v>
      </c>
      <c r="K3" s="9"/>
    </row>
    <row r="4" ht="15.75" spans="1:11">
      <c r="A4" s="2"/>
      <c r="B4" s="7">
        <f>ROW(B4)-ROW($B$2)</f>
        <v>2</v>
      </c>
      <c r="C4" s="8" t="s">
        <v>10</v>
      </c>
      <c r="D4" s="11" t="s">
        <v>17</v>
      </c>
      <c r="E4" s="12" t="s">
        <v>18</v>
      </c>
      <c r="F4" s="11" t="s">
        <v>19</v>
      </c>
      <c r="G4" s="12" t="s">
        <v>20</v>
      </c>
      <c r="H4" s="11" t="s">
        <v>21</v>
      </c>
      <c r="I4" s="12" t="s">
        <v>22</v>
      </c>
      <c r="J4" s="11">
        <v>4</v>
      </c>
      <c r="K4" s="11"/>
    </row>
    <row r="5" ht="15.75" spans="1:11">
      <c r="A5" s="2"/>
      <c r="B5" s="7">
        <f>ROW(B5)-ROW($B$2)</f>
        <v>3</v>
      </c>
      <c r="C5" s="8" t="s">
        <v>10</v>
      </c>
      <c r="D5" s="9" t="s">
        <v>23</v>
      </c>
      <c r="E5" s="10" t="s">
        <v>24</v>
      </c>
      <c r="F5" s="9" t="s">
        <v>25</v>
      </c>
      <c r="G5" s="10" t="s">
        <v>26</v>
      </c>
      <c r="H5" s="9" t="s">
        <v>27</v>
      </c>
      <c r="I5" s="10" t="s">
        <v>28</v>
      </c>
      <c r="J5" s="9">
        <v>8</v>
      </c>
      <c r="K5" s="9"/>
    </row>
    <row r="6" ht="36.75" spans="1:11">
      <c r="A6" s="2"/>
      <c r="B6" s="7">
        <f>ROW(B6)-ROW($B$2)</f>
        <v>4</v>
      </c>
      <c r="C6" s="13" t="s">
        <v>10</v>
      </c>
      <c r="D6" s="11" t="s">
        <v>29</v>
      </c>
      <c r="E6" s="12" t="s">
        <v>30</v>
      </c>
      <c r="F6" s="11" t="s">
        <v>13</v>
      </c>
      <c r="G6" s="12" t="s">
        <v>31</v>
      </c>
      <c r="H6" s="11" t="s">
        <v>32</v>
      </c>
      <c r="I6" s="12" t="s">
        <v>33</v>
      </c>
      <c r="J6" s="11">
        <v>13</v>
      </c>
      <c r="K6" s="11"/>
    </row>
    <row r="7" ht="15.75" spans="1:11">
      <c r="A7" s="2"/>
      <c r="B7" s="7">
        <f>ROW(B7)-ROW($B$2)</f>
        <v>5</v>
      </c>
      <c r="C7" s="8" t="s">
        <v>10</v>
      </c>
      <c r="D7" s="9" t="s">
        <v>34</v>
      </c>
      <c r="E7" s="10" t="s">
        <v>35</v>
      </c>
      <c r="F7" s="9" t="s">
        <v>13</v>
      </c>
      <c r="G7" s="10" t="s">
        <v>36</v>
      </c>
      <c r="H7" s="9" t="s">
        <v>15</v>
      </c>
      <c r="I7" s="10" t="s">
        <v>37</v>
      </c>
      <c r="J7" s="9">
        <v>1</v>
      </c>
      <c r="K7" s="9"/>
    </row>
    <row r="8" ht="15.75" spans="1:11">
      <c r="A8" s="2"/>
      <c r="B8" s="7">
        <f>ROW(B8)-ROW($B$2)</f>
        <v>6</v>
      </c>
      <c r="C8" s="13" t="s">
        <v>10</v>
      </c>
      <c r="D8" s="11" t="s">
        <v>38</v>
      </c>
      <c r="E8" s="12" t="s">
        <v>39</v>
      </c>
      <c r="F8" s="11" t="s">
        <v>13</v>
      </c>
      <c r="G8" s="12" t="s">
        <v>40</v>
      </c>
      <c r="H8" s="11" t="s">
        <v>15</v>
      </c>
      <c r="I8" s="12" t="s">
        <v>41</v>
      </c>
      <c r="J8" s="11">
        <v>1</v>
      </c>
      <c r="K8" s="11"/>
    </row>
    <row r="9" ht="15.75" spans="1:11">
      <c r="A9" s="2"/>
      <c r="B9" s="7">
        <f>ROW(B9)-ROW($B$2)</f>
        <v>7</v>
      </c>
      <c r="C9" s="8" t="s">
        <v>10</v>
      </c>
      <c r="D9" s="9" t="s">
        <v>42</v>
      </c>
      <c r="E9" s="10" t="s">
        <v>43</v>
      </c>
      <c r="F9" s="9" t="s">
        <v>13</v>
      </c>
      <c r="G9" s="10" t="s">
        <v>44</v>
      </c>
      <c r="H9" s="9" t="s">
        <v>15</v>
      </c>
      <c r="I9" s="10" t="s">
        <v>45</v>
      </c>
      <c r="J9" s="9">
        <v>1</v>
      </c>
      <c r="K9" s="9"/>
    </row>
    <row r="10" ht="36.75" spans="1:11">
      <c r="A10" s="2"/>
      <c r="B10" s="7">
        <f>ROW(B10)-ROW($B$2)</f>
        <v>8</v>
      </c>
      <c r="C10" s="13" t="s">
        <v>10</v>
      </c>
      <c r="D10" s="11" t="s">
        <v>46</v>
      </c>
      <c r="E10" s="12" t="s">
        <v>47</v>
      </c>
      <c r="F10" s="11" t="s">
        <v>13</v>
      </c>
      <c r="G10" s="12" t="s">
        <v>48</v>
      </c>
      <c r="H10" s="9" t="s">
        <v>15</v>
      </c>
      <c r="I10" s="12" t="s">
        <v>49</v>
      </c>
      <c r="J10" s="11">
        <v>2</v>
      </c>
      <c r="K10" s="11"/>
    </row>
    <row r="11" ht="15.75" spans="1:11">
      <c r="A11" s="2"/>
      <c r="B11" s="7">
        <f>ROW(B11)-ROW($B$2)</f>
        <v>9</v>
      </c>
      <c r="C11" s="8" t="s">
        <v>10</v>
      </c>
      <c r="D11" s="11" t="s">
        <v>50</v>
      </c>
      <c r="E11" s="12" t="s">
        <v>51</v>
      </c>
      <c r="F11" s="11" t="s">
        <v>19</v>
      </c>
      <c r="G11" s="12" t="s">
        <v>52</v>
      </c>
      <c r="H11" s="11" t="s">
        <v>21</v>
      </c>
      <c r="I11" s="12" t="s">
        <v>53</v>
      </c>
      <c r="J11" s="11">
        <v>1</v>
      </c>
      <c r="K11" s="11"/>
    </row>
    <row r="12" ht="15.75" spans="1:11">
      <c r="A12" s="2"/>
      <c r="B12" s="7">
        <f>ROW(B12)-ROW($B$2)</f>
        <v>10</v>
      </c>
      <c r="C12" s="8" t="s">
        <v>10</v>
      </c>
      <c r="D12" s="9" t="s">
        <v>54</v>
      </c>
      <c r="E12" s="10" t="s">
        <v>55</v>
      </c>
      <c r="F12" s="9" t="s">
        <v>13</v>
      </c>
      <c r="G12" s="10" t="s">
        <v>56</v>
      </c>
      <c r="H12" s="9" t="s">
        <v>15</v>
      </c>
      <c r="I12" s="10" t="s">
        <v>57</v>
      </c>
      <c r="J12" s="9">
        <v>4</v>
      </c>
      <c r="K12" s="9"/>
    </row>
    <row r="13" ht="15.75" spans="1:11">
      <c r="A13" s="2"/>
      <c r="B13" s="7">
        <f>ROW(B13)-ROW($B$2)</f>
        <v>11</v>
      </c>
      <c r="C13" s="13" t="s">
        <v>10</v>
      </c>
      <c r="D13" s="11" t="s">
        <v>58</v>
      </c>
      <c r="E13" s="12" t="s">
        <v>59</v>
      </c>
      <c r="F13" s="11" t="s">
        <v>19</v>
      </c>
      <c r="G13" s="12" t="s">
        <v>60</v>
      </c>
      <c r="H13" s="11" t="s">
        <v>61</v>
      </c>
      <c r="I13" s="12" t="s">
        <v>62</v>
      </c>
      <c r="J13" s="11">
        <v>1</v>
      </c>
      <c r="K13" s="11"/>
    </row>
    <row r="14" ht="24.75" spans="1:11">
      <c r="A14" s="2"/>
      <c r="B14" s="7">
        <f>ROW(B14)-ROW($B$2)</f>
        <v>12</v>
      </c>
      <c r="C14" s="13" t="s">
        <v>10</v>
      </c>
      <c r="D14" s="9" t="s">
        <v>63</v>
      </c>
      <c r="E14" s="10" t="s">
        <v>64</v>
      </c>
      <c r="F14" s="9" t="s">
        <v>13</v>
      </c>
      <c r="G14" s="10" t="s">
        <v>65</v>
      </c>
      <c r="H14" s="9" t="s">
        <v>15</v>
      </c>
      <c r="I14" s="10" t="s">
        <v>66</v>
      </c>
      <c r="J14" s="9">
        <v>19</v>
      </c>
      <c r="K14" s="9"/>
    </row>
    <row r="15" ht="24.75" spans="1:11">
      <c r="A15" s="2"/>
      <c r="B15" s="7">
        <f>ROW(B15)-ROW($B$2)</f>
        <v>13</v>
      </c>
      <c r="C15" s="13" t="s">
        <v>10</v>
      </c>
      <c r="D15" s="11" t="s">
        <v>67</v>
      </c>
      <c r="E15" s="12" t="s">
        <v>68</v>
      </c>
      <c r="F15" s="11" t="s">
        <v>69</v>
      </c>
      <c r="G15" s="12" t="s">
        <v>70</v>
      </c>
      <c r="H15" s="11" t="s">
        <v>71</v>
      </c>
      <c r="I15" s="12" t="s">
        <v>72</v>
      </c>
      <c r="J15" s="11">
        <v>12</v>
      </c>
      <c r="K15" s="11"/>
    </row>
    <row r="16" ht="15.75" spans="1:11">
      <c r="A16" s="2"/>
      <c r="B16" s="7">
        <f>ROW(B16)-ROW($B$2)</f>
        <v>14</v>
      </c>
      <c r="C16" s="8" t="s">
        <v>10</v>
      </c>
      <c r="D16" s="9" t="s">
        <v>73</v>
      </c>
      <c r="E16" s="10" t="s">
        <v>74</v>
      </c>
      <c r="F16" s="9" t="s">
        <v>19</v>
      </c>
      <c r="G16" s="10" t="s">
        <v>75</v>
      </c>
      <c r="H16" s="9" t="s">
        <v>15</v>
      </c>
      <c r="I16" s="10" t="s">
        <v>76</v>
      </c>
      <c r="J16" s="9">
        <v>2</v>
      </c>
      <c r="K16" s="9"/>
    </row>
    <row r="17" ht="15.75" spans="1:11">
      <c r="A17" s="2"/>
      <c r="B17" s="7">
        <f>ROW(B17)-ROW($B$2)</f>
        <v>15</v>
      </c>
      <c r="C17" s="13" t="s">
        <v>10</v>
      </c>
      <c r="D17" s="11" t="s">
        <v>77</v>
      </c>
      <c r="E17" s="12" t="s">
        <v>78</v>
      </c>
      <c r="F17" s="11" t="s">
        <v>13</v>
      </c>
      <c r="G17" s="12" t="s">
        <v>79</v>
      </c>
      <c r="H17" s="11" t="s">
        <v>27</v>
      </c>
      <c r="I17" s="12" t="s">
        <v>80</v>
      </c>
      <c r="J17" s="11">
        <v>4</v>
      </c>
      <c r="K17" s="11"/>
    </row>
    <row r="18" ht="15.75" spans="1:11">
      <c r="A18" s="2"/>
      <c r="B18" s="7">
        <f>ROW(B18)-ROW($B$2)</f>
        <v>16</v>
      </c>
      <c r="C18" s="8" t="s">
        <v>10</v>
      </c>
      <c r="D18" s="9" t="s">
        <v>81</v>
      </c>
      <c r="E18" s="10" t="s">
        <v>82</v>
      </c>
      <c r="F18" s="9" t="s">
        <v>25</v>
      </c>
      <c r="G18" s="10" t="s">
        <v>83</v>
      </c>
      <c r="H18" s="9" t="s">
        <v>71</v>
      </c>
      <c r="I18" s="10" t="s">
        <v>84</v>
      </c>
      <c r="J18" s="9">
        <v>1</v>
      </c>
      <c r="K18" s="9"/>
    </row>
    <row r="19" ht="15.75" spans="1:11">
      <c r="A19" s="2"/>
      <c r="B19" s="7">
        <f>ROW(B19)-ROW($B$2)</f>
        <v>17</v>
      </c>
      <c r="C19" s="13" t="s">
        <v>85</v>
      </c>
      <c r="D19" s="9" t="s">
        <v>86</v>
      </c>
      <c r="E19" s="10" t="s">
        <v>87</v>
      </c>
      <c r="F19" s="9" t="s">
        <v>88</v>
      </c>
      <c r="G19" s="10" t="s">
        <v>89</v>
      </c>
      <c r="H19" s="9" t="s">
        <v>90</v>
      </c>
      <c r="I19" s="10" t="s">
        <v>91</v>
      </c>
      <c r="J19" s="9">
        <v>3</v>
      </c>
      <c r="K19" s="9"/>
    </row>
    <row r="20" ht="24.75" spans="1:11">
      <c r="A20" s="2"/>
      <c r="B20" s="7">
        <f>ROW(B20)-ROW($B$2)</f>
        <v>18</v>
      </c>
      <c r="C20" s="13" t="s">
        <v>85</v>
      </c>
      <c r="D20" s="11" t="s">
        <v>92</v>
      </c>
      <c r="E20" s="12" t="s">
        <v>93</v>
      </c>
      <c r="F20" s="11" t="s">
        <v>94</v>
      </c>
      <c r="G20" s="12" t="s">
        <v>95</v>
      </c>
      <c r="H20" s="11" t="s">
        <v>96</v>
      </c>
      <c r="I20" s="10" t="s">
        <v>91</v>
      </c>
      <c r="J20" s="11">
        <v>1</v>
      </c>
      <c r="K20" s="11"/>
    </row>
    <row r="21" ht="15.75" spans="1:11">
      <c r="A21" s="2"/>
      <c r="B21" s="7">
        <f>ROW(B21)-ROW($B$2)</f>
        <v>19</v>
      </c>
      <c r="C21" s="13" t="s">
        <v>85</v>
      </c>
      <c r="D21" s="9" t="s">
        <v>97</v>
      </c>
      <c r="E21" s="10" t="s">
        <v>98</v>
      </c>
      <c r="F21" s="9" t="s">
        <v>99</v>
      </c>
      <c r="G21" s="10" t="s">
        <v>100</v>
      </c>
      <c r="H21" s="9" t="s">
        <v>101</v>
      </c>
      <c r="I21" s="10" t="s">
        <v>91</v>
      </c>
      <c r="J21" s="9">
        <v>1</v>
      </c>
      <c r="K21" s="9"/>
    </row>
    <row r="22" ht="15.75" spans="1:11">
      <c r="A22" s="2"/>
      <c r="B22" s="7">
        <f>ROW(B22)-ROW($B$2)</f>
        <v>20</v>
      </c>
      <c r="C22" s="13" t="s">
        <v>85</v>
      </c>
      <c r="D22" s="11" t="s">
        <v>102</v>
      </c>
      <c r="E22" s="12" t="s">
        <v>103</v>
      </c>
      <c r="F22" s="11" t="s">
        <v>104</v>
      </c>
      <c r="G22" s="12" t="s">
        <v>105</v>
      </c>
      <c r="H22" s="11" t="s">
        <v>101</v>
      </c>
      <c r="I22" s="10" t="s">
        <v>91</v>
      </c>
      <c r="J22" s="11">
        <v>1</v>
      </c>
      <c r="K22" s="11"/>
    </row>
    <row r="23" ht="24.75" spans="1:11">
      <c r="A23" s="2"/>
      <c r="B23" s="7">
        <f>ROW(B23)-ROW($B$2)</f>
        <v>21</v>
      </c>
      <c r="C23" s="8" t="s">
        <v>85</v>
      </c>
      <c r="D23" s="9" t="s">
        <v>106</v>
      </c>
      <c r="E23" s="10" t="s">
        <v>107</v>
      </c>
      <c r="F23" s="9" t="s">
        <v>108</v>
      </c>
      <c r="G23" s="10" t="s">
        <v>109</v>
      </c>
      <c r="H23" s="9" t="s">
        <v>110</v>
      </c>
      <c r="I23" s="10" t="s">
        <v>91</v>
      </c>
      <c r="J23" s="9">
        <v>1</v>
      </c>
      <c r="K23" s="9"/>
    </row>
    <row r="24" ht="15.75" spans="1:11">
      <c r="A24" s="2"/>
      <c r="B24" s="7">
        <f>ROW(B24)-ROW($B$2)</f>
        <v>22</v>
      </c>
      <c r="C24" s="13" t="s">
        <v>85</v>
      </c>
      <c r="D24" s="11" t="s">
        <v>111</v>
      </c>
      <c r="E24" s="12" t="s">
        <v>112</v>
      </c>
      <c r="F24" s="11" t="s">
        <v>113</v>
      </c>
      <c r="G24" s="12" t="s">
        <v>114</v>
      </c>
      <c r="H24" s="11" t="s">
        <v>115</v>
      </c>
      <c r="I24" s="10" t="s">
        <v>91</v>
      </c>
      <c r="J24" s="11">
        <v>3</v>
      </c>
      <c r="K24" s="11"/>
    </row>
    <row r="25" ht="24.75" spans="1:11">
      <c r="A25" s="2"/>
      <c r="B25" s="7">
        <f>ROW(B25)-ROW($B$2)</f>
        <v>23</v>
      </c>
      <c r="C25" s="8" t="s">
        <v>116</v>
      </c>
      <c r="D25" s="9" t="s">
        <v>117</v>
      </c>
      <c r="E25" s="10" t="s">
        <v>118</v>
      </c>
      <c r="F25" s="9" t="s">
        <v>119</v>
      </c>
      <c r="G25" s="10" t="s">
        <v>120</v>
      </c>
      <c r="H25" s="9" t="s">
        <v>121</v>
      </c>
      <c r="I25" s="10" t="s">
        <v>91</v>
      </c>
      <c r="J25" s="9">
        <v>1</v>
      </c>
      <c r="K25" s="9"/>
    </row>
    <row r="26" ht="15.75" spans="1:11">
      <c r="A26" s="2"/>
      <c r="B26" s="7">
        <f>ROW(B26)-ROW($B$2)</f>
        <v>24</v>
      </c>
      <c r="C26" s="13" t="s">
        <v>122</v>
      </c>
      <c r="D26" s="11" t="s">
        <v>123</v>
      </c>
      <c r="E26" s="12" t="s">
        <v>124</v>
      </c>
      <c r="F26" s="11" t="s">
        <v>125</v>
      </c>
      <c r="G26" s="12" t="s">
        <v>126</v>
      </c>
      <c r="H26" s="11" t="s">
        <v>27</v>
      </c>
      <c r="I26" s="10" t="s">
        <v>91</v>
      </c>
      <c r="J26" s="11">
        <v>2</v>
      </c>
      <c r="K26" s="11"/>
    </row>
    <row r="27" ht="36.75" spans="1:11">
      <c r="A27" s="2"/>
      <c r="B27" s="7">
        <f>ROW(B27)-ROW($B$2)</f>
        <v>25</v>
      </c>
      <c r="C27" s="8" t="s">
        <v>127</v>
      </c>
      <c r="D27" s="9" t="s">
        <v>128</v>
      </c>
      <c r="E27" s="10" t="s">
        <v>129</v>
      </c>
      <c r="F27" s="9" t="s">
        <v>130</v>
      </c>
      <c r="G27" s="10" t="s">
        <v>130</v>
      </c>
      <c r="H27" s="9" t="s">
        <v>131</v>
      </c>
      <c r="I27" s="10" t="s">
        <v>91</v>
      </c>
      <c r="J27" s="9">
        <v>7</v>
      </c>
      <c r="K27" s="9"/>
    </row>
    <row r="28" ht="15.75" spans="1:11">
      <c r="A28" s="2"/>
      <c r="B28" s="7">
        <f>ROW(B28)-ROW($B$2)</f>
        <v>26</v>
      </c>
      <c r="C28" s="13" t="s">
        <v>132</v>
      </c>
      <c r="D28" s="11" t="s">
        <v>133</v>
      </c>
      <c r="E28" s="12" t="s">
        <v>134</v>
      </c>
      <c r="F28" s="11" t="s">
        <v>135</v>
      </c>
      <c r="G28" s="12" t="s">
        <v>135</v>
      </c>
      <c r="H28" s="11" t="s">
        <v>136</v>
      </c>
      <c r="I28" s="10" t="s">
        <v>91</v>
      </c>
      <c r="J28" s="11">
        <v>1</v>
      </c>
      <c r="K28" s="11"/>
    </row>
    <row r="29" ht="48.75" spans="1:11">
      <c r="A29" s="2"/>
      <c r="B29" s="7">
        <f>ROW(B29)-ROW($B$2)</f>
        <v>27</v>
      </c>
      <c r="C29" s="8" t="s">
        <v>137</v>
      </c>
      <c r="D29" s="9" t="s">
        <v>138</v>
      </c>
      <c r="E29" s="10" t="s">
        <v>139</v>
      </c>
      <c r="F29" s="9" t="s">
        <v>140</v>
      </c>
      <c r="G29" s="10" t="s">
        <v>141</v>
      </c>
      <c r="H29" s="9" t="s">
        <v>142</v>
      </c>
      <c r="I29" s="10" t="s">
        <v>91</v>
      </c>
      <c r="J29" s="9">
        <v>1</v>
      </c>
      <c r="K29" s="9"/>
    </row>
    <row r="30" ht="15.75" spans="1:11">
      <c r="A30" s="2"/>
      <c r="B30" s="7">
        <f>ROW(B30)-ROW($B$2)</f>
        <v>28</v>
      </c>
      <c r="C30" s="13" t="s">
        <v>143</v>
      </c>
      <c r="D30" s="11" t="s">
        <v>144</v>
      </c>
      <c r="E30" s="12" t="s">
        <v>145</v>
      </c>
      <c r="F30" s="11" t="s">
        <v>146</v>
      </c>
      <c r="G30" s="12" t="s">
        <v>146</v>
      </c>
      <c r="H30" s="11" t="s">
        <v>147</v>
      </c>
      <c r="I30" s="10" t="s">
        <v>91</v>
      </c>
      <c r="J30" s="11">
        <v>1</v>
      </c>
      <c r="K30" s="11"/>
    </row>
    <row r="31" ht="15.75" spans="1:11">
      <c r="A31" s="2"/>
      <c r="B31" s="7">
        <f>ROW(B31)-ROW($B$2)</f>
        <v>29</v>
      </c>
      <c r="C31" s="8" t="s">
        <v>148</v>
      </c>
      <c r="D31" s="9" t="s">
        <v>149</v>
      </c>
      <c r="E31" s="10" t="s">
        <v>150</v>
      </c>
      <c r="F31" s="9" t="s">
        <v>151</v>
      </c>
      <c r="G31" s="10" t="s">
        <v>152</v>
      </c>
      <c r="H31" s="9" t="s">
        <v>136</v>
      </c>
      <c r="I31" s="10" t="s">
        <v>91</v>
      </c>
      <c r="J31" s="9">
        <v>4</v>
      </c>
      <c r="K31" s="9"/>
    </row>
    <row r="32" ht="24.75" spans="1:11">
      <c r="A32" s="2"/>
      <c r="B32" s="7">
        <f>ROW(B32)-ROW($B$2)</f>
        <v>30</v>
      </c>
      <c r="C32" s="13" t="s">
        <v>153</v>
      </c>
      <c r="D32" s="11" t="s">
        <v>154</v>
      </c>
      <c r="E32" s="12" t="s">
        <v>155</v>
      </c>
      <c r="F32" s="11" t="s">
        <v>156</v>
      </c>
      <c r="G32" s="12" t="s">
        <v>156</v>
      </c>
      <c r="H32" s="11" t="s">
        <v>157</v>
      </c>
      <c r="I32" s="10" t="s">
        <v>91</v>
      </c>
      <c r="J32" s="11">
        <v>2</v>
      </c>
      <c r="K32" s="11"/>
    </row>
    <row r="33" ht="48.75" spans="1:11">
      <c r="A33" s="2"/>
      <c r="B33" s="7">
        <f>ROW(B33)-ROW($B$2)</f>
        <v>31</v>
      </c>
      <c r="C33" s="8" t="s">
        <v>158</v>
      </c>
      <c r="D33" s="9" t="s">
        <v>159</v>
      </c>
      <c r="E33" s="10" t="s">
        <v>160</v>
      </c>
      <c r="F33" s="9" t="s">
        <v>161</v>
      </c>
      <c r="G33" s="10" t="s">
        <v>161</v>
      </c>
      <c r="H33" s="9" t="s">
        <v>162</v>
      </c>
      <c r="I33" s="10" t="s">
        <v>91</v>
      </c>
      <c r="J33" s="9">
        <v>1</v>
      </c>
      <c r="K33" s="9"/>
    </row>
    <row r="34" ht="36.75" spans="1:11">
      <c r="A34" s="2"/>
      <c r="B34" s="7">
        <f>ROW(B34)-ROW($B$2)</f>
        <v>32</v>
      </c>
      <c r="C34" s="13" t="s">
        <v>163</v>
      </c>
      <c r="D34" s="11" t="s">
        <v>164</v>
      </c>
      <c r="E34" s="12" t="s">
        <v>165</v>
      </c>
      <c r="F34" s="11" t="s">
        <v>166</v>
      </c>
      <c r="G34" s="12" t="s">
        <v>166</v>
      </c>
      <c r="H34" s="11" t="s">
        <v>167</v>
      </c>
      <c r="I34" s="10" t="s">
        <v>91</v>
      </c>
      <c r="J34" s="11">
        <v>1</v>
      </c>
      <c r="K34" s="11"/>
    </row>
    <row r="35" ht="15.75" spans="1:11">
      <c r="A35" s="2"/>
      <c r="B35" s="7">
        <f>ROW(B35)-ROW($B$2)</f>
        <v>33</v>
      </c>
      <c r="C35" s="8" t="s">
        <v>168</v>
      </c>
      <c r="D35" s="9" t="s">
        <v>169</v>
      </c>
      <c r="E35" s="10" t="s">
        <v>170</v>
      </c>
      <c r="F35" s="9" t="s">
        <v>171</v>
      </c>
      <c r="G35" s="10" t="s">
        <v>172</v>
      </c>
      <c r="H35" s="9" t="s">
        <v>173</v>
      </c>
      <c r="I35" s="10" t="s">
        <v>91</v>
      </c>
      <c r="J35" s="9">
        <v>1</v>
      </c>
      <c r="K35" s="9"/>
    </row>
    <row r="36" ht="24.75" spans="1:11">
      <c r="A36" s="2"/>
      <c r="B36" s="7">
        <f>ROW(B36)-ROW($B$2)</f>
        <v>34</v>
      </c>
      <c r="C36" s="13" t="s">
        <v>174</v>
      </c>
      <c r="D36" s="11" t="s">
        <v>175</v>
      </c>
      <c r="E36" s="12" t="s">
        <v>176</v>
      </c>
      <c r="F36" s="11" t="s">
        <v>177</v>
      </c>
      <c r="G36" s="12" t="s">
        <v>178</v>
      </c>
      <c r="H36" s="11" t="s">
        <v>179</v>
      </c>
      <c r="I36" s="10" t="s">
        <v>91</v>
      </c>
      <c r="J36" s="11">
        <v>1</v>
      </c>
      <c r="K36" s="11"/>
    </row>
    <row r="37" ht="36.75" spans="1:11">
      <c r="A37" s="2"/>
      <c r="B37" s="7">
        <f>ROW(B37)-ROW($B$2)</f>
        <v>35</v>
      </c>
      <c r="C37" s="13" t="s">
        <v>174</v>
      </c>
      <c r="D37" s="9" t="s">
        <v>180</v>
      </c>
      <c r="E37" s="10" t="s">
        <v>181</v>
      </c>
      <c r="F37" s="9" t="s">
        <v>182</v>
      </c>
      <c r="G37" s="10" t="s">
        <v>182</v>
      </c>
      <c r="H37" s="9" t="s">
        <v>136</v>
      </c>
      <c r="I37" s="10" t="s">
        <v>91</v>
      </c>
      <c r="J37" s="9">
        <v>1</v>
      </c>
      <c r="K37" s="9"/>
    </row>
    <row r="38" ht="36.75" spans="1:11">
      <c r="A38" s="2"/>
      <c r="B38" s="7">
        <f>ROW(B38)-ROW($B$2)</f>
        <v>36</v>
      </c>
      <c r="C38" s="8" t="s">
        <v>183</v>
      </c>
      <c r="D38" s="9" t="s">
        <v>184</v>
      </c>
      <c r="E38" s="10" t="s">
        <v>185</v>
      </c>
      <c r="F38" s="9" t="s">
        <v>186</v>
      </c>
      <c r="G38" s="10" t="s">
        <v>186</v>
      </c>
      <c r="H38" s="9" t="s">
        <v>187</v>
      </c>
      <c r="I38" s="10" t="s">
        <v>188</v>
      </c>
      <c r="J38" s="9">
        <v>2</v>
      </c>
      <c r="K38" s="9"/>
    </row>
    <row r="39" ht="24.75" spans="1:11">
      <c r="A39" s="2"/>
      <c r="B39" s="7">
        <f>ROW(B39)-ROW($B$2)</f>
        <v>37</v>
      </c>
      <c r="C39" s="8" t="s">
        <v>183</v>
      </c>
      <c r="D39" s="11" t="s">
        <v>189</v>
      </c>
      <c r="E39" s="12" t="s">
        <v>190</v>
      </c>
      <c r="F39" s="11" t="s">
        <v>191</v>
      </c>
      <c r="G39" s="12" t="s">
        <v>191</v>
      </c>
      <c r="H39" s="11" t="s">
        <v>192</v>
      </c>
      <c r="I39" s="12" t="s">
        <v>193</v>
      </c>
      <c r="J39" s="11">
        <v>1</v>
      </c>
      <c r="K39" s="11"/>
    </row>
    <row r="40" ht="24.75" spans="1:11">
      <c r="A40" s="2"/>
      <c r="B40" s="7">
        <f>ROW(B40)-ROW($B$2)</f>
        <v>38</v>
      </c>
      <c r="C40" s="8" t="s">
        <v>183</v>
      </c>
      <c r="D40" s="9" t="s">
        <v>194</v>
      </c>
      <c r="E40" s="10" t="s">
        <v>195</v>
      </c>
      <c r="F40" s="9" t="s">
        <v>196</v>
      </c>
      <c r="G40" s="10" t="s">
        <v>196</v>
      </c>
      <c r="H40" s="9" t="s">
        <v>197</v>
      </c>
      <c r="I40" s="10" t="s">
        <v>198</v>
      </c>
      <c r="J40" s="9">
        <v>1</v>
      </c>
      <c r="K40" s="9"/>
    </row>
    <row r="41" ht="15.75" spans="1:11">
      <c r="A41" s="2"/>
      <c r="B41" s="7">
        <f>ROW(B41)-ROW($B$2)</f>
        <v>39</v>
      </c>
      <c r="C41" s="13" t="s">
        <v>183</v>
      </c>
      <c r="D41" s="11" t="s">
        <v>199</v>
      </c>
      <c r="E41" s="12" t="s">
        <v>200</v>
      </c>
      <c r="F41" s="11" t="s">
        <v>201</v>
      </c>
      <c r="G41" s="12" t="s">
        <v>202</v>
      </c>
      <c r="H41" s="11" t="s">
        <v>27</v>
      </c>
      <c r="I41" s="12" t="s">
        <v>203</v>
      </c>
      <c r="J41" s="11">
        <v>1</v>
      </c>
      <c r="K41" s="11"/>
    </row>
    <row r="42" ht="15.75" spans="1:11">
      <c r="A42" s="2"/>
      <c r="B42" s="7">
        <f>ROW(B42)-ROW($B$2)</f>
        <v>40</v>
      </c>
      <c r="C42" s="8" t="s">
        <v>204</v>
      </c>
      <c r="D42" s="9" t="s">
        <v>205</v>
      </c>
      <c r="E42" s="10" t="s">
        <v>206</v>
      </c>
      <c r="F42" s="9" t="s">
        <v>207</v>
      </c>
      <c r="G42" s="10" t="s">
        <v>208</v>
      </c>
      <c r="H42" s="9" t="s">
        <v>209</v>
      </c>
      <c r="I42" s="10" t="s">
        <v>91</v>
      </c>
      <c r="J42" s="9">
        <v>1</v>
      </c>
      <c r="K42" s="9"/>
    </row>
    <row r="43" ht="48.75" spans="1:11">
      <c r="A43" s="2"/>
      <c r="B43" s="7">
        <f>ROW(B43)-ROW($B$2)</f>
        <v>41</v>
      </c>
      <c r="C43" s="8" t="s">
        <v>204</v>
      </c>
      <c r="D43" s="11" t="s">
        <v>210</v>
      </c>
      <c r="E43" s="12" t="s">
        <v>211</v>
      </c>
      <c r="F43" s="11" t="s">
        <v>207</v>
      </c>
      <c r="G43" s="12" t="s">
        <v>212</v>
      </c>
      <c r="H43" s="11" t="s">
        <v>213</v>
      </c>
      <c r="I43" s="12" t="s">
        <v>91</v>
      </c>
      <c r="J43" s="11">
        <v>1</v>
      </c>
      <c r="K43" s="11"/>
    </row>
    <row r="44" ht="15.75" spans="1:11">
      <c r="A44" s="2"/>
      <c r="B44" s="7">
        <f>ROW(B44)-ROW($B$2)</f>
        <v>42</v>
      </c>
      <c r="C44" s="8" t="s">
        <v>214</v>
      </c>
      <c r="D44" s="9" t="s">
        <v>215</v>
      </c>
      <c r="E44" s="10" t="s">
        <v>216</v>
      </c>
      <c r="F44" s="9" t="s">
        <v>217</v>
      </c>
      <c r="G44" s="10" t="s">
        <v>218</v>
      </c>
      <c r="H44" s="9" t="s">
        <v>15</v>
      </c>
      <c r="I44" s="10" t="s">
        <v>219</v>
      </c>
      <c r="J44" s="9">
        <v>1</v>
      </c>
      <c r="K44" s="9"/>
    </row>
    <row r="45" ht="36.75" spans="1:11">
      <c r="A45" s="2"/>
      <c r="B45" s="7">
        <f>ROW(B45)-ROW($B$2)</f>
        <v>43</v>
      </c>
      <c r="C45" s="13" t="s">
        <v>214</v>
      </c>
      <c r="D45" s="11" t="s">
        <v>220</v>
      </c>
      <c r="E45" s="12" t="s">
        <v>221</v>
      </c>
      <c r="F45" s="11" t="s">
        <v>222</v>
      </c>
      <c r="G45" s="12" t="s">
        <v>223</v>
      </c>
      <c r="H45" s="11" t="s">
        <v>224</v>
      </c>
      <c r="I45" s="12" t="s">
        <v>225</v>
      </c>
      <c r="J45" s="11">
        <v>1</v>
      </c>
      <c r="K45" s="11"/>
    </row>
    <row r="46" ht="24.75" spans="1:11">
      <c r="A46" s="2"/>
      <c r="B46" s="7">
        <f>ROW(B46)-ROW($B$2)</f>
        <v>44</v>
      </c>
      <c r="C46" s="8" t="s">
        <v>214</v>
      </c>
      <c r="D46" s="9" t="s">
        <v>226</v>
      </c>
      <c r="E46" s="10" t="s">
        <v>227</v>
      </c>
      <c r="F46" s="9" t="s">
        <v>222</v>
      </c>
      <c r="G46" s="10" t="s">
        <v>228</v>
      </c>
      <c r="H46" s="9" t="s">
        <v>229</v>
      </c>
      <c r="I46" s="10" t="s">
        <v>230</v>
      </c>
      <c r="J46" s="9">
        <v>1</v>
      </c>
      <c r="K46" s="9"/>
    </row>
    <row r="47" ht="36.75" spans="1:11">
      <c r="A47" s="2"/>
      <c r="B47" s="7">
        <f>ROW(B47)-ROW($B$2)</f>
        <v>45</v>
      </c>
      <c r="C47" s="13" t="s">
        <v>214</v>
      </c>
      <c r="D47" s="11" t="s">
        <v>231</v>
      </c>
      <c r="E47" s="12" t="s">
        <v>232</v>
      </c>
      <c r="F47" s="11" t="s">
        <v>222</v>
      </c>
      <c r="G47" s="12" t="s">
        <v>233</v>
      </c>
      <c r="H47" s="11" t="s">
        <v>234</v>
      </c>
      <c r="I47" s="12" t="s">
        <v>235</v>
      </c>
      <c r="J47" s="11">
        <v>1</v>
      </c>
      <c r="K47" s="11"/>
    </row>
    <row r="48" ht="15.75" spans="1:11">
      <c r="A48" s="2"/>
      <c r="B48" s="7">
        <f>ROW(B48)-ROW($B$2)</f>
        <v>46</v>
      </c>
      <c r="C48" s="8" t="s">
        <v>214</v>
      </c>
      <c r="D48" s="9" t="s">
        <v>236</v>
      </c>
      <c r="E48" s="10" t="s">
        <v>237</v>
      </c>
      <c r="F48" s="9" t="s">
        <v>222</v>
      </c>
      <c r="G48" s="10" t="s">
        <v>238</v>
      </c>
      <c r="H48" s="9" t="s">
        <v>15</v>
      </c>
      <c r="I48" s="10" t="s">
        <v>239</v>
      </c>
      <c r="J48" s="9">
        <v>1</v>
      </c>
      <c r="K48" s="9"/>
    </row>
    <row r="49" ht="36.75" spans="1:11">
      <c r="A49" s="2"/>
      <c r="B49" s="7">
        <f>ROW(B49)-ROW($B$2)</f>
        <v>47</v>
      </c>
      <c r="C49" s="13" t="s">
        <v>214</v>
      </c>
      <c r="D49" s="11" t="s">
        <v>240</v>
      </c>
      <c r="E49" s="12" t="s">
        <v>241</v>
      </c>
      <c r="F49" s="11" t="s">
        <v>222</v>
      </c>
      <c r="G49" s="12" t="s">
        <v>242</v>
      </c>
      <c r="H49" s="11" t="s">
        <v>243</v>
      </c>
      <c r="I49" s="12" t="s">
        <v>244</v>
      </c>
      <c r="J49" s="11">
        <v>1</v>
      </c>
      <c r="K49" s="11"/>
    </row>
    <row r="50" ht="15.75" spans="1:11">
      <c r="A50" s="2"/>
      <c r="B50" s="7">
        <f>ROW(B50)-ROW($B$2)</f>
        <v>48</v>
      </c>
      <c r="C50" s="8" t="s">
        <v>214</v>
      </c>
      <c r="D50" s="9" t="s">
        <v>245</v>
      </c>
      <c r="E50" s="10" t="s">
        <v>246</v>
      </c>
      <c r="F50" s="9" t="s">
        <v>222</v>
      </c>
      <c r="G50" s="10" t="s">
        <v>247</v>
      </c>
      <c r="H50" s="9" t="s">
        <v>15</v>
      </c>
      <c r="I50" s="10" t="s">
        <v>248</v>
      </c>
      <c r="J50" s="9">
        <v>1</v>
      </c>
      <c r="K50" s="9"/>
    </row>
    <row r="51" ht="15.75" spans="1:11">
      <c r="A51" s="2"/>
      <c r="B51" s="7">
        <f>ROW(B51)-ROW($B$2)</f>
        <v>49</v>
      </c>
      <c r="C51" s="13" t="s">
        <v>214</v>
      </c>
      <c r="D51" s="11" t="s">
        <v>249</v>
      </c>
      <c r="E51" s="12" t="s">
        <v>250</v>
      </c>
      <c r="F51" s="11" t="s">
        <v>222</v>
      </c>
      <c r="G51" s="12" t="s">
        <v>251</v>
      </c>
      <c r="H51" s="11" t="s">
        <v>252</v>
      </c>
      <c r="I51" s="12" t="s">
        <v>253</v>
      </c>
      <c r="J51" s="11">
        <v>1</v>
      </c>
      <c r="K51" s="11"/>
    </row>
    <row r="52" ht="36.75" spans="1:11">
      <c r="A52" s="2"/>
      <c r="B52" s="7">
        <f>ROW(B52)-ROW($B$2)</f>
        <v>50</v>
      </c>
      <c r="C52" s="8" t="s">
        <v>214</v>
      </c>
      <c r="D52" s="9" t="s">
        <v>254</v>
      </c>
      <c r="E52" s="10" t="s">
        <v>255</v>
      </c>
      <c r="F52" s="9" t="s">
        <v>222</v>
      </c>
      <c r="G52" s="10" t="s">
        <v>256</v>
      </c>
      <c r="H52" s="9" t="s">
        <v>257</v>
      </c>
      <c r="I52" s="10" t="s">
        <v>258</v>
      </c>
      <c r="J52" s="9">
        <v>2</v>
      </c>
      <c r="K52" s="9"/>
    </row>
    <row r="53" ht="36.75" spans="1:11">
      <c r="A53" s="2"/>
      <c r="B53" s="7">
        <f>ROW(B53)-ROW($B$2)</f>
        <v>51</v>
      </c>
      <c r="C53" s="13" t="s">
        <v>214</v>
      </c>
      <c r="D53" s="11" t="s">
        <v>259</v>
      </c>
      <c r="E53" s="12" t="s">
        <v>260</v>
      </c>
      <c r="F53" s="11" t="s">
        <v>261</v>
      </c>
      <c r="G53" s="12" t="s">
        <v>262</v>
      </c>
      <c r="H53" s="11" t="s">
        <v>263</v>
      </c>
      <c r="I53" s="12" t="s">
        <v>264</v>
      </c>
      <c r="J53" s="11">
        <v>1</v>
      </c>
      <c r="K53" s="11"/>
    </row>
    <row r="54" ht="15.75" spans="1:11">
      <c r="A54" s="2"/>
      <c r="B54" s="7">
        <f>ROW(B54)-ROW($B$2)</f>
        <v>52</v>
      </c>
      <c r="C54" s="8" t="s">
        <v>214</v>
      </c>
      <c r="D54" s="9" t="s">
        <v>265</v>
      </c>
      <c r="E54" s="10" t="s">
        <v>266</v>
      </c>
      <c r="F54" s="9" t="s">
        <v>222</v>
      </c>
      <c r="G54" s="10" t="s">
        <v>267</v>
      </c>
      <c r="H54" s="9" t="s">
        <v>15</v>
      </c>
      <c r="I54" s="10" t="s">
        <v>268</v>
      </c>
      <c r="J54" s="9">
        <v>8</v>
      </c>
      <c r="K54" s="9"/>
    </row>
    <row r="55" ht="24.75" spans="1:11">
      <c r="A55" s="2"/>
      <c r="B55" s="7">
        <f>ROW(B55)-ROW($B$2)</f>
        <v>53</v>
      </c>
      <c r="C55" s="13" t="s">
        <v>214</v>
      </c>
      <c r="D55" s="11" t="s">
        <v>269</v>
      </c>
      <c r="E55" s="12" t="s">
        <v>270</v>
      </c>
      <c r="F55" s="11" t="s">
        <v>222</v>
      </c>
      <c r="G55" s="12" t="s">
        <v>271</v>
      </c>
      <c r="H55" s="11" t="s">
        <v>272</v>
      </c>
      <c r="I55" s="12" t="s">
        <v>273</v>
      </c>
      <c r="J55" s="11">
        <v>1</v>
      </c>
      <c r="K55" s="11"/>
    </row>
    <row r="56" ht="15.75" spans="1:11">
      <c r="A56" s="2"/>
      <c r="B56" s="7">
        <f>ROW(B56)-ROW($B$2)</f>
        <v>54</v>
      </c>
      <c r="C56" s="8" t="s">
        <v>214</v>
      </c>
      <c r="D56" s="9" t="s">
        <v>274</v>
      </c>
      <c r="E56" s="10" t="s">
        <v>275</v>
      </c>
      <c r="F56" s="9" t="s">
        <v>217</v>
      </c>
      <c r="G56" s="10" t="s">
        <v>276</v>
      </c>
      <c r="H56" s="9" t="s">
        <v>15</v>
      </c>
      <c r="I56" s="10" t="s">
        <v>277</v>
      </c>
      <c r="J56" s="9">
        <v>1</v>
      </c>
      <c r="K56" s="9"/>
    </row>
    <row r="57" ht="36.75" spans="1:11">
      <c r="A57" s="2"/>
      <c r="B57" s="7">
        <f>ROW(B57)-ROW($B$2)</f>
        <v>55</v>
      </c>
      <c r="C57" s="13" t="s">
        <v>214</v>
      </c>
      <c r="D57" s="11" t="s">
        <v>278</v>
      </c>
      <c r="E57" s="12" t="s">
        <v>279</v>
      </c>
      <c r="F57" s="11" t="s">
        <v>217</v>
      </c>
      <c r="G57" s="12" t="s">
        <v>280</v>
      </c>
      <c r="H57" s="9" t="s">
        <v>15</v>
      </c>
      <c r="I57" s="12" t="s">
        <v>281</v>
      </c>
      <c r="J57" s="11">
        <v>1</v>
      </c>
      <c r="K57" s="11"/>
    </row>
    <row r="58" ht="15.75" spans="1:11">
      <c r="A58" s="2"/>
      <c r="B58" s="7">
        <f>ROW(B58)-ROW($B$2)</f>
        <v>56</v>
      </c>
      <c r="C58" s="8" t="s">
        <v>214</v>
      </c>
      <c r="D58" s="9" t="s">
        <v>282</v>
      </c>
      <c r="E58" s="10" t="s">
        <v>283</v>
      </c>
      <c r="F58" s="9" t="s">
        <v>217</v>
      </c>
      <c r="G58" s="10" t="s">
        <v>284</v>
      </c>
      <c r="H58" s="9" t="s">
        <v>15</v>
      </c>
      <c r="I58" s="10" t="s">
        <v>285</v>
      </c>
      <c r="J58" s="9">
        <v>1</v>
      </c>
      <c r="K58" s="9"/>
    </row>
    <row r="59" ht="15.75" spans="1:11">
      <c r="A59" s="2"/>
      <c r="B59" s="7">
        <f>ROW(B59)-ROW($B$2)</f>
        <v>57</v>
      </c>
      <c r="C59" s="13"/>
      <c r="D59" s="11" t="s">
        <v>286</v>
      </c>
      <c r="E59" s="12" t="s">
        <v>287</v>
      </c>
      <c r="F59" s="11" t="s">
        <v>222</v>
      </c>
      <c r="G59" s="12" t="s">
        <v>288</v>
      </c>
      <c r="H59" s="11" t="s">
        <v>15</v>
      </c>
      <c r="I59" s="12" t="s">
        <v>289</v>
      </c>
      <c r="J59" s="11">
        <v>1</v>
      </c>
      <c r="K59" s="11"/>
    </row>
    <row r="60" ht="15.75" spans="1:11">
      <c r="A60" s="2"/>
      <c r="B60" s="7">
        <f>ROW(B60)-ROW($B$2)</f>
        <v>58</v>
      </c>
      <c r="C60" s="8" t="s">
        <v>214</v>
      </c>
      <c r="D60" s="9" t="s">
        <v>290</v>
      </c>
      <c r="E60" s="10" t="s">
        <v>291</v>
      </c>
      <c r="F60" s="9" t="s">
        <v>217</v>
      </c>
      <c r="G60" s="10" t="s">
        <v>292</v>
      </c>
      <c r="H60" s="9" t="s">
        <v>15</v>
      </c>
      <c r="I60" s="10" t="s">
        <v>293</v>
      </c>
      <c r="J60" s="9">
        <v>1</v>
      </c>
      <c r="K60" s="9"/>
    </row>
    <row r="61" ht="15.75" spans="1:11">
      <c r="A61" s="2"/>
      <c r="B61" s="7">
        <f>ROW(B61)-ROW($B$2)</f>
        <v>59</v>
      </c>
      <c r="C61" s="13" t="s">
        <v>214</v>
      </c>
      <c r="D61" s="11" t="s">
        <v>294</v>
      </c>
      <c r="E61" s="12" t="s">
        <v>295</v>
      </c>
      <c r="F61" s="11" t="s">
        <v>222</v>
      </c>
      <c r="G61" s="12" t="s">
        <v>296</v>
      </c>
      <c r="H61" s="11" t="s">
        <v>15</v>
      </c>
      <c r="I61" s="12" t="s">
        <v>297</v>
      </c>
      <c r="J61" s="11">
        <v>2</v>
      </c>
      <c r="K61" s="11"/>
    </row>
    <row r="62" ht="15.75" spans="1:11">
      <c r="A62" s="2"/>
      <c r="B62" s="7">
        <f>ROW(B62)-ROW($B$2)</f>
        <v>60</v>
      </c>
      <c r="C62" s="8" t="s">
        <v>214</v>
      </c>
      <c r="D62" s="9" t="s">
        <v>298</v>
      </c>
      <c r="E62" s="10" t="s">
        <v>299</v>
      </c>
      <c r="F62" s="9" t="s">
        <v>217</v>
      </c>
      <c r="G62" s="10" t="s">
        <v>300</v>
      </c>
      <c r="H62" s="9" t="s">
        <v>15</v>
      </c>
      <c r="I62" s="10" t="s">
        <v>301</v>
      </c>
      <c r="J62" s="9">
        <v>1</v>
      </c>
      <c r="K62" s="9"/>
    </row>
    <row r="63" ht="15.75" spans="1:11">
      <c r="A63" s="2"/>
      <c r="B63" s="7">
        <f>ROW(B63)-ROW($B$2)</f>
        <v>61</v>
      </c>
      <c r="C63" s="13" t="s">
        <v>214</v>
      </c>
      <c r="D63" s="11" t="s">
        <v>302</v>
      </c>
      <c r="E63" s="12" t="s">
        <v>303</v>
      </c>
      <c r="F63" s="11" t="s">
        <v>217</v>
      </c>
      <c r="G63" s="12" t="s">
        <v>304</v>
      </c>
      <c r="H63" s="11" t="s">
        <v>15</v>
      </c>
      <c r="I63" s="12" t="s">
        <v>305</v>
      </c>
      <c r="J63" s="11">
        <v>1</v>
      </c>
      <c r="K63" s="11"/>
    </row>
    <row r="64" ht="15.75" spans="1:11">
      <c r="A64" s="2"/>
      <c r="B64" s="7">
        <f>ROW(B64)-ROW($B$2)</f>
        <v>62</v>
      </c>
      <c r="C64" s="8" t="s">
        <v>214</v>
      </c>
      <c r="D64" s="9" t="s">
        <v>306</v>
      </c>
      <c r="E64" s="10" t="s">
        <v>307</v>
      </c>
      <c r="F64" s="9" t="s">
        <v>217</v>
      </c>
      <c r="G64" s="10" t="s">
        <v>308</v>
      </c>
      <c r="H64" s="9" t="s">
        <v>15</v>
      </c>
      <c r="I64" s="10" t="s">
        <v>309</v>
      </c>
      <c r="J64" s="9">
        <v>1</v>
      </c>
      <c r="K64" s="9"/>
    </row>
    <row r="65" ht="15.75" spans="1:11">
      <c r="A65" s="2"/>
      <c r="B65" s="7">
        <f>ROW(B65)-ROW($B$2)</f>
        <v>63</v>
      </c>
      <c r="C65" s="13" t="s">
        <v>310</v>
      </c>
      <c r="D65" s="11" t="s">
        <v>311</v>
      </c>
      <c r="E65" s="12" t="s">
        <v>312</v>
      </c>
      <c r="F65" s="11" t="s">
        <v>313</v>
      </c>
      <c r="G65" s="12" t="s">
        <v>313</v>
      </c>
      <c r="H65" s="11" t="s">
        <v>314</v>
      </c>
      <c r="I65" s="12" t="s">
        <v>91</v>
      </c>
      <c r="J65" s="11">
        <v>6</v>
      </c>
      <c r="K65" s="11"/>
    </row>
    <row r="66" ht="26.25" spans="1:11">
      <c r="A66" s="2"/>
      <c r="B66" s="7">
        <f>ROW(B66)-ROW($B$2)</f>
        <v>64</v>
      </c>
      <c r="C66" s="8" t="s">
        <v>315</v>
      </c>
      <c r="D66" s="9" t="s">
        <v>316</v>
      </c>
      <c r="E66" s="10" t="s">
        <v>317</v>
      </c>
      <c r="F66" s="9" t="s">
        <v>318</v>
      </c>
      <c r="G66" s="10" t="s">
        <v>319</v>
      </c>
      <c r="H66" s="9" t="s">
        <v>320</v>
      </c>
      <c r="I66" s="12" t="s">
        <v>91</v>
      </c>
      <c r="J66" s="9">
        <v>3</v>
      </c>
      <c r="K66" s="9"/>
    </row>
    <row r="67" ht="15.75" spans="1:11">
      <c r="A67" s="2"/>
      <c r="B67" s="7">
        <f>ROW(B67)-ROW($B$2)</f>
        <v>65</v>
      </c>
      <c r="C67" s="13" t="s">
        <v>321</v>
      </c>
      <c r="D67" s="11" t="s">
        <v>322</v>
      </c>
      <c r="E67" s="12" t="s">
        <v>323</v>
      </c>
      <c r="F67" s="11" t="s">
        <v>324</v>
      </c>
      <c r="G67" s="12" t="s">
        <v>325</v>
      </c>
      <c r="H67" s="11" t="s">
        <v>326</v>
      </c>
      <c r="I67" s="12" t="s">
        <v>91</v>
      </c>
      <c r="J67" s="11">
        <v>1</v>
      </c>
      <c r="K67" s="11"/>
    </row>
    <row r="68" ht="15.75" spans="1:11">
      <c r="A68" s="2"/>
      <c r="B68" s="7">
        <f>ROW(B68)-ROW($B$2)</f>
        <v>66</v>
      </c>
      <c r="C68" s="8" t="s">
        <v>321</v>
      </c>
      <c r="D68" s="9" t="s">
        <v>327</v>
      </c>
      <c r="E68" s="10" t="s">
        <v>328</v>
      </c>
      <c r="F68" s="9" t="s">
        <v>329</v>
      </c>
      <c r="G68" s="10" t="s">
        <v>330</v>
      </c>
      <c r="H68" s="9" t="s">
        <v>331</v>
      </c>
      <c r="I68" s="12" t="s">
        <v>91</v>
      </c>
      <c r="J68" s="9">
        <v>1</v>
      </c>
      <c r="K68" s="9"/>
    </row>
    <row r="69" ht="36.75" spans="1:11">
      <c r="A69" s="2"/>
      <c r="B69" s="7">
        <f>ROW(B69)-ROW($B$2)</f>
        <v>67</v>
      </c>
      <c r="C69" s="8" t="s">
        <v>321</v>
      </c>
      <c r="D69" s="11" t="s">
        <v>332</v>
      </c>
      <c r="E69" s="12" t="s">
        <v>333</v>
      </c>
      <c r="F69" s="11" t="s">
        <v>334</v>
      </c>
      <c r="G69" s="12" t="s">
        <v>335</v>
      </c>
      <c r="H69" s="11" t="s">
        <v>91</v>
      </c>
      <c r="I69" s="12" t="s">
        <v>91</v>
      </c>
      <c r="J69" s="11">
        <v>1</v>
      </c>
      <c r="K69" s="11"/>
    </row>
    <row r="70" ht="15.75" spans="1:11">
      <c r="A70" s="2"/>
      <c r="B70" s="7">
        <f>ROW(B70)-ROW($B$2)</f>
        <v>68</v>
      </c>
      <c r="C70" s="8" t="s">
        <v>321</v>
      </c>
      <c r="D70" s="9" t="s">
        <v>336</v>
      </c>
      <c r="E70" s="10" t="s">
        <v>337</v>
      </c>
      <c r="F70" s="9" t="s">
        <v>338</v>
      </c>
      <c r="G70" s="10" t="s">
        <v>339</v>
      </c>
      <c r="H70" s="9" t="s">
        <v>340</v>
      </c>
      <c r="I70" s="12" t="s">
        <v>91</v>
      </c>
      <c r="J70" s="9">
        <v>1</v>
      </c>
      <c r="K70" s="9"/>
    </row>
    <row r="71" ht="15.75" spans="1:11">
      <c r="A71" s="2"/>
      <c r="B71" s="7">
        <f>ROW(B71)-ROW($B$2)</f>
        <v>69</v>
      </c>
      <c r="C71" s="13" t="s">
        <v>321</v>
      </c>
      <c r="D71" s="11" t="s">
        <v>341</v>
      </c>
      <c r="E71" s="12" t="s">
        <v>342</v>
      </c>
      <c r="F71" s="11" t="s">
        <v>329</v>
      </c>
      <c r="G71" s="12" t="s">
        <v>343</v>
      </c>
      <c r="H71" s="11" t="s">
        <v>344</v>
      </c>
      <c r="I71" s="12" t="s">
        <v>91</v>
      </c>
      <c r="J71" s="11">
        <v>1</v>
      </c>
      <c r="K71" s="11"/>
    </row>
    <row r="72" ht="15.75" spans="1:11">
      <c r="A72" s="2"/>
      <c r="B72" s="7">
        <f>ROW(B72)-ROW($B$2)</f>
        <v>70</v>
      </c>
      <c r="C72" s="8"/>
      <c r="D72" s="9" t="s">
        <v>345</v>
      </c>
      <c r="E72" s="10" t="s">
        <v>346</v>
      </c>
      <c r="F72" s="9" t="s">
        <v>347</v>
      </c>
      <c r="G72" s="10" t="s">
        <v>348</v>
      </c>
      <c r="H72" s="9" t="s">
        <v>349</v>
      </c>
      <c r="I72" s="12" t="s">
        <v>91</v>
      </c>
      <c r="J72" s="9">
        <v>1</v>
      </c>
      <c r="K72" s="9"/>
    </row>
    <row r="73" ht="15.75" spans="1:11">
      <c r="A73" s="2"/>
      <c r="B73" s="7">
        <f>ROW(B73)-ROW($B$2)</f>
        <v>71</v>
      </c>
      <c r="C73" s="13" t="s">
        <v>321</v>
      </c>
      <c r="D73" s="11" t="s">
        <v>350</v>
      </c>
      <c r="E73" s="12" t="s">
        <v>351</v>
      </c>
      <c r="F73" s="11" t="s">
        <v>352</v>
      </c>
      <c r="G73" s="12" t="s">
        <v>353</v>
      </c>
      <c r="H73" s="11" t="s">
        <v>354</v>
      </c>
      <c r="I73" s="12" t="s">
        <v>91</v>
      </c>
      <c r="J73" s="11">
        <v>1</v>
      </c>
      <c r="K73" s="11"/>
    </row>
    <row r="74" ht="15.75" spans="1:11">
      <c r="A74" s="2"/>
      <c r="B74" s="7">
        <f>ROW(B74)-ROW($B$2)</f>
        <v>72</v>
      </c>
      <c r="C74" s="8" t="s">
        <v>321</v>
      </c>
      <c r="D74" s="9" t="s">
        <v>355</v>
      </c>
      <c r="E74" s="10" t="s">
        <v>356</v>
      </c>
      <c r="F74" s="9" t="s">
        <v>357</v>
      </c>
      <c r="G74" s="10" t="s">
        <v>358</v>
      </c>
      <c r="H74" s="9" t="s">
        <v>359</v>
      </c>
      <c r="I74" s="12" t="s">
        <v>91</v>
      </c>
      <c r="J74" s="9">
        <v>1</v>
      </c>
      <c r="K74" s="9"/>
    </row>
    <row r="75" ht="15.75" spans="1:11">
      <c r="A75" s="2"/>
      <c r="B75" s="7">
        <f>ROW(B75)-ROW($B$2)</f>
        <v>73</v>
      </c>
      <c r="C75" s="13" t="s">
        <v>321</v>
      </c>
      <c r="D75" s="11" t="s">
        <v>360</v>
      </c>
      <c r="E75" s="12" t="s">
        <v>361</v>
      </c>
      <c r="F75" s="11" t="s">
        <v>362</v>
      </c>
      <c r="G75" s="12" t="s">
        <v>363</v>
      </c>
      <c r="H75" s="11" t="s">
        <v>364</v>
      </c>
      <c r="I75" s="12" t="s">
        <v>91</v>
      </c>
      <c r="J75" s="11">
        <v>1</v>
      </c>
      <c r="K75" s="11"/>
    </row>
    <row r="76" ht="15.75" spans="1:11">
      <c r="A76" s="2"/>
      <c r="B76" s="7">
        <f>ROW(B76)-ROW($B$2)</f>
        <v>74</v>
      </c>
      <c r="C76" s="8" t="s">
        <v>321</v>
      </c>
      <c r="D76" s="9" t="s">
        <v>365</v>
      </c>
      <c r="E76" s="10" t="s">
        <v>366</v>
      </c>
      <c r="F76" s="9" t="s">
        <v>367</v>
      </c>
      <c r="G76" s="10" t="s">
        <v>368</v>
      </c>
      <c r="H76" s="9" t="s">
        <v>369</v>
      </c>
      <c r="I76" s="12" t="s">
        <v>91</v>
      </c>
      <c r="J76" s="9">
        <v>1</v>
      </c>
      <c r="K76" s="9"/>
    </row>
    <row r="77" ht="15.75" spans="1:11">
      <c r="A77" s="2"/>
      <c r="B77" s="7">
        <f>ROW(B77)-ROW($B$2)</f>
        <v>75</v>
      </c>
      <c r="C77" s="13" t="s">
        <v>370</v>
      </c>
      <c r="D77" s="11" t="s">
        <v>371</v>
      </c>
      <c r="E77" s="12" t="s">
        <v>372</v>
      </c>
      <c r="F77" s="11" t="s">
        <v>373</v>
      </c>
      <c r="G77" s="12" t="s">
        <v>374</v>
      </c>
      <c r="H77" s="11" t="s">
        <v>326</v>
      </c>
      <c r="I77" s="12" t="s">
        <v>91</v>
      </c>
      <c r="J77" s="11">
        <v>1</v>
      </c>
      <c r="K77" s="11"/>
    </row>
    <row r="78" ht="15.75" spans="1:11">
      <c r="A78" s="2"/>
      <c r="B78" s="7">
        <f>ROW(B78)-ROW($B$2)</f>
        <v>76</v>
      </c>
      <c r="C78" s="8" t="s">
        <v>375</v>
      </c>
      <c r="D78" s="9" t="s">
        <v>376</v>
      </c>
      <c r="E78" s="10" t="s">
        <v>377</v>
      </c>
      <c r="F78" s="9" t="s">
        <v>378</v>
      </c>
      <c r="G78" s="10" t="s">
        <v>379</v>
      </c>
      <c r="H78" s="9" t="s">
        <v>380</v>
      </c>
      <c r="I78" s="12" t="s">
        <v>91</v>
      </c>
      <c r="J78" s="9">
        <v>1</v>
      </c>
      <c r="K78" s="9"/>
    </row>
    <row r="79" ht="36.75" spans="1:11">
      <c r="A79" s="2"/>
      <c r="B79" s="7">
        <f>ROW(B79)-ROW($B$2)</f>
        <v>77</v>
      </c>
      <c r="C79" s="13" t="s">
        <v>375</v>
      </c>
      <c r="D79" s="11" t="s">
        <v>381</v>
      </c>
      <c r="E79" s="12" t="s">
        <v>382</v>
      </c>
      <c r="F79" s="11" t="s">
        <v>383</v>
      </c>
      <c r="G79" s="12" t="s">
        <v>384</v>
      </c>
      <c r="H79" s="11" t="s">
        <v>385</v>
      </c>
      <c r="I79" s="12" t="s">
        <v>91</v>
      </c>
      <c r="J79" s="11">
        <v>1</v>
      </c>
      <c r="K79" s="11"/>
    </row>
    <row r="80" ht="15.75" spans="1:11">
      <c r="A80" s="2"/>
      <c r="B80" s="7">
        <f>ROW(B80)-ROW($B$2)</f>
        <v>78</v>
      </c>
      <c r="C80" s="13" t="s">
        <v>375</v>
      </c>
      <c r="D80" s="9" t="s">
        <v>386</v>
      </c>
      <c r="E80" s="10" t="s">
        <v>387</v>
      </c>
      <c r="F80" s="9" t="s">
        <v>388</v>
      </c>
      <c r="G80" s="10" t="s">
        <v>389</v>
      </c>
      <c r="H80" s="9" t="s">
        <v>390</v>
      </c>
      <c r="I80" s="12" t="s">
        <v>91</v>
      </c>
      <c r="J80" s="9">
        <v>1</v>
      </c>
      <c r="K80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2024-11-04T05:20:15Z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798CC72C32FD4CF3A7339D94C513AEC5_13</vt:lpwstr>
  </property>
  <property fmtid="{D5CDD505-2E9C-101B-9397-08002B2CF9AE}" pid="3" name="KSOProductBuildVer">
    <vt:lpwstr>1033-12.2.0.18607</vt:lpwstr>
  </property>
</Properties>
</file>