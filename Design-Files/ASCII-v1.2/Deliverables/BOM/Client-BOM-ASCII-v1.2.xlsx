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MarsVirgo\Documents\GitHub\coopertaylor-ascii-hw\Design-Files\ASCII-v1.1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6" i="1" l="1"/>
  <c r="B45" i="1" l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<sst xmlns="http://schemas.openxmlformats.org/spreadsheetml/2006/main" count="317" uniqueCount="235">
  <si>
    <t>#</t>
  </si>
  <si>
    <t>Item Type</t>
  </si>
  <si>
    <t>Tantalum Capacitor</t>
  </si>
  <si>
    <t>Capacitor</t>
  </si>
  <si>
    <t>Capacitors</t>
  </si>
  <si>
    <t>Diode</t>
  </si>
  <si>
    <t>Wire To Board Connector</t>
  </si>
  <si>
    <t>Headers</t>
  </si>
  <si>
    <t>Female Header</t>
  </si>
  <si>
    <t>Male Header</t>
  </si>
  <si>
    <t>Connectors</t>
  </si>
  <si>
    <t>JST Connector</t>
  </si>
  <si>
    <t>Micro-B Connector</t>
  </si>
  <si>
    <t>Cell Holder</t>
  </si>
  <si>
    <t>Inductors</t>
  </si>
  <si>
    <t>Inductor</t>
  </si>
  <si>
    <t>LEDs</t>
  </si>
  <si>
    <t>Resistor</t>
  </si>
  <si>
    <t>IC</t>
  </si>
  <si>
    <t>Voltage Regulators - Switching</t>
  </si>
  <si>
    <t>Crystal</t>
  </si>
  <si>
    <t>Designator</t>
  </si>
  <si>
    <t>C1</t>
  </si>
  <si>
    <t>C2, C4, C12, C18, C20</t>
  </si>
  <si>
    <t>C3</t>
  </si>
  <si>
    <t>C5, C6, C13, C14</t>
  </si>
  <si>
    <t>C7, C8, C9, C15, C21, C22</t>
  </si>
  <si>
    <t>C10</t>
  </si>
  <si>
    <t>C11</t>
  </si>
  <si>
    <t>C16</t>
  </si>
  <si>
    <t>C17</t>
  </si>
  <si>
    <t>C19</t>
  </si>
  <si>
    <t>D1, D2</t>
  </si>
  <si>
    <t>D3</t>
  </si>
  <si>
    <t>J1, J2, J3</t>
  </si>
  <si>
    <t>J4</t>
  </si>
  <si>
    <t>J5, J6</t>
  </si>
  <si>
    <t>J7</t>
  </si>
  <si>
    <t>J8</t>
  </si>
  <si>
    <t>J9, J10, J11, J13</t>
  </si>
  <si>
    <t>J12</t>
  </si>
  <si>
    <t>J14</t>
  </si>
  <si>
    <t>J15</t>
  </si>
  <si>
    <t>L1</t>
  </si>
  <si>
    <t>L2</t>
  </si>
  <si>
    <t>LED1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</si>
  <si>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</si>
  <si>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</si>
  <si>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</si>
  <si>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</si>
  <si>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</si>
  <si>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</si>
  <si>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</si>
  <si>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</si>
  <si>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</si>
  <si>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</si>
  <si>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R11, R12, R14, R15, R16</t>
  </si>
  <si>
    <t>R13</t>
  </si>
  <si>
    <t>U1</t>
  </si>
  <si>
    <t>U2, U3</t>
  </si>
  <si>
    <t>U4</t>
  </si>
  <si>
    <t>U5</t>
  </si>
  <si>
    <t>U6</t>
  </si>
  <si>
    <t>U7</t>
  </si>
  <si>
    <t>X1</t>
  </si>
  <si>
    <t>Description</t>
  </si>
  <si>
    <t>CAP TANT 22UF 10% 16V 1411</t>
  </si>
  <si>
    <t>CAP CER 0.1UF 25V X7R 0402</t>
  </si>
  <si>
    <t>CAP CER 22UF 10V X5R 0402</t>
  </si>
  <si>
    <t>CAP CER 4.7UF 25V X5R 0603</t>
  </si>
  <si>
    <t>CAP CER 47UF 25V X5R 1206</t>
  </si>
  <si>
    <t>CAP CER 6.8PF 50V C0G/NPO 0402</t>
  </si>
  <si>
    <t>CAP CER 5600PF 50V X7R 0402</t>
  </si>
  <si>
    <t>CAP CER 8.2PF 50V C0G/NPO 0402</t>
  </si>
  <si>
    <t>50V 1.8nF X7R ±10% 0402 Multilayer Ceramic Capacitors MLCC - SMD/SMT ROHS</t>
  </si>
  <si>
    <t>CAP CER 10UF 10V X5R 0402</t>
  </si>
  <si>
    <t>DIODE SCHOTTKY 60V 5A SMA</t>
  </si>
  <si>
    <t>40V 3A 550mV@3A SMA(DO-214AC) Schottky Diodes ROHS</t>
  </si>
  <si>
    <t>1x2P 2P XH 1 2.5mm Tin 2 -25℃~+85℃ Brass 3A Direct Insert Plugin,P=2.5mm Wire To Board Connector ROHS</t>
  </si>
  <si>
    <t>CONN HEADER VERT 2POS 2.5MM</t>
  </si>
  <si>
    <t>2.54mm Single Row 3A Brass Alloy 14P -40℃~+105℃ 260℃@5S Direct Insert 1x14P 8.5mm Top Square Hole Plugin,P=2.54mm Female Headers ROHS</t>
  </si>
  <si>
    <t>Gold 250V 3A Straight Square Pins 2.5mm 4P 260℃ 6mm -40℃~+105℃ 3mm 2.54mm Plugin Black Brass 1x4P Plugin,P=2.54mm Pin Headers ROHS</t>
  </si>
  <si>
    <t>CONN HEADER VERT 18POS 2.54MM</t>
  </si>
  <si>
    <t>CONN HEADER VERT 3POS 2.5MM</t>
  </si>
  <si>
    <t>Female Micro-B SMD USB Connectors ROHS</t>
  </si>
  <si>
    <t>-40℃~+70℃ 1.8mm Gold Card Slot MicroSD card (TF card) Brass Alloy Self-bouncing SMD SD Card / Memory Card Connector ROHS</t>
  </si>
  <si>
    <t>Battery holder -40℃~+85℃ Gold Copper end CR2032 SMD Button And Strip Battery Connector ROHS</t>
  </si>
  <si>
    <t>8.2uH ±20% 7.2A SMD,5.5x5.3mm Power Inductors ROHS</t>
  </si>
  <si>
    <t>5.5A 2.2uH ±20% 7.5A SMD,5.2x5.4x3mm Power Inductors ROHS</t>
  </si>
  <si>
    <t>LED BLUE CLEAR 0805 SMD</t>
  </si>
  <si>
    <t>RES 1K OHM 5% 1/16W 0402</t>
  </si>
  <si>
    <t>62.5mW Thick Film Resistors 50V ±1% ±200ppm/℃ 115kΩ 0402 Chip Resistor - Surface Mount ROHS</t>
  </si>
  <si>
    <t>62.5mW 100V ±1% 28.7kΩ 0402 Chip Resistor - Surface Mount ROHS</t>
  </si>
  <si>
    <t>62.5mW Thick Film Resistors 50V ±100ppm/℃ ±1% 105kΩ 0402 Chip Resistor - Surface Mount ROHS</t>
  </si>
  <si>
    <t>RES SMD 12.1KOHM 0.1% 1/16W 0402</t>
  </si>
  <si>
    <t>60.4kΩ 50V 62.5mW Thick Film Resistors ±1% 0402 Chip Resistor - Surface Mount ROHS</t>
  </si>
  <si>
    <t>RES SMD 23.7KOHM 0.1% 1/16W 0402</t>
  </si>
  <si>
    <t>RES SMD 80.6K OHM 1% 1/16W 0402</t>
  </si>
  <si>
    <t>11.5kΩ 50V 62.5mW Thick Film Resistors ±100ppm/℃ ±1%  0402 Chip Resistor - Surface Mount ROHS</t>
  </si>
  <si>
    <t>500mW 6mΩ ±50ppm/℃ ±1% 0805 Current Sense Resistors / Shunt Resistors ROHS</t>
  </si>
  <si>
    <t>RES SMD 10K OHM 0.1% 1/16W 0402</t>
  </si>
  <si>
    <t>62.5mW ±1% 2kΩ 0402 Chip Resistor - Surface Mount ROHS</t>
  </si>
  <si>
    <t>SOT-223 Linear Voltage Regulators (LDO) ROHS</t>
  </si>
  <si>
    <t>IC REG BCK SPLIT RAIL ADJ 8SOPWR</t>
  </si>
  <si>
    <t>SMD,12.5x13.2mm WiFi Modules ROHS</t>
  </si>
  <si>
    <t>IC CURRENT MONITOR SOT25</t>
  </si>
  <si>
    <t>GY-521 6DOF 3 Axis Analog Gyro Sensor + 3 Axis Accelerometer Module</t>
  </si>
  <si>
    <t>DIP-8 Real Time Clocks ROHS</t>
  </si>
  <si>
    <t>DT-26 Crystals ROHS</t>
  </si>
  <si>
    <t>Footprint</t>
  </si>
  <si>
    <t>Case-B</t>
  </si>
  <si>
    <t>Cap-0402</t>
  </si>
  <si>
    <t>Cap-0603</t>
  </si>
  <si>
    <t>Cap-1206</t>
  </si>
  <si>
    <t>SMA</t>
  </si>
  <si>
    <t>SMA(DO-214AC)</t>
  </si>
  <si>
    <t>2.54-2P ZZDK</t>
  </si>
  <si>
    <t>B2B-XH-2(LF)(SN)</t>
  </si>
  <si>
    <t>TSW-106-07-T-T</t>
  </si>
  <si>
    <t>HX MICRO XNJ JB</t>
  </si>
  <si>
    <t>HX TF-CARD H1.8</t>
  </si>
  <si>
    <t>BS-CR2032-8</t>
  </si>
  <si>
    <t>YSPIT0550A-8R2M</t>
  </si>
  <si>
    <t>PSPMAA0503-2R2M-ANP</t>
  </si>
  <si>
    <t>LED-0805</t>
  </si>
  <si>
    <t>Res-0402</t>
  </si>
  <si>
    <t>RES-0805</t>
  </si>
  <si>
    <t>SOT- 223</t>
  </si>
  <si>
    <t>8-SO PowerPad</t>
  </si>
  <si>
    <t>SOT-23-5</t>
  </si>
  <si>
    <t>8-PDIP</t>
  </si>
  <si>
    <t>Manufacturer Part Number</t>
  </si>
  <si>
    <t>TAJB226K016RNJ</t>
  </si>
  <si>
    <t>CC0402KRX7R8BB104</t>
  </si>
  <si>
    <t>GRM158R61A226ME15D</t>
  </si>
  <si>
    <t>GRM188R61E475KE11D</t>
  </si>
  <si>
    <t>GRM31CR61E476ME44L</t>
  </si>
  <si>
    <t>CC0402CRNPO9BN6R8</t>
  </si>
  <si>
    <t>CC0402KRX7R9BB562</t>
  </si>
  <si>
    <t>CC0402DRNPO9BN8R2</t>
  </si>
  <si>
    <t>CC0402KRX7R9BB182</t>
  </si>
  <si>
    <t>CL05A106MP5NUNC</t>
  </si>
  <si>
    <t>SS56</t>
  </si>
  <si>
    <t>SS34-MS</t>
  </si>
  <si>
    <t>PM254-1-14-Z-8.5</t>
  </si>
  <si>
    <t>X6511WV-04H-C60D30</t>
  </si>
  <si>
    <t>B3B-XH-A(LF)(SN)</t>
  </si>
  <si>
    <t>150080BS75000</t>
  </si>
  <si>
    <t>RC0402JR-071KL</t>
  </si>
  <si>
    <t>CR0402FF1153G</t>
  </si>
  <si>
    <t>NQ02WGF2872TCE</t>
  </si>
  <si>
    <t>RTT021053FTH</t>
  </si>
  <si>
    <t>RT0402BRD0712K1L</t>
  </si>
  <si>
    <t>SCR0402F60K4</t>
  </si>
  <si>
    <t>RT0402BRD0723K7L</t>
  </si>
  <si>
    <t>CRCW040280K6FKED</t>
  </si>
  <si>
    <t>FRC0402F1152TS</t>
  </si>
  <si>
    <t>RLM10FTSMR006</t>
  </si>
  <si>
    <t>RT0402BRD0710KL</t>
  </si>
  <si>
    <t>RMC04022K1%N</t>
  </si>
  <si>
    <t>AMS1117-3.3</t>
  </si>
  <si>
    <t>TPS54560DDAR</t>
  </si>
  <si>
    <t>ESP32-C3-MINI-1U-H4</t>
  </si>
  <si>
    <t>ZXCT1086E5TA</t>
  </si>
  <si>
    <t>MPU6050</t>
  </si>
  <si>
    <t>DS1307N</t>
  </si>
  <si>
    <t>DT-26 32.768KHz</t>
  </si>
  <si>
    <t>Manufacturer</t>
  </si>
  <si>
    <t>Kyocera AVX</t>
  </si>
  <si>
    <t>Yageo</t>
  </si>
  <si>
    <t>Murata</t>
  </si>
  <si>
    <t>YAGEO</t>
  </si>
  <si>
    <t>Samsung</t>
  </si>
  <si>
    <t>MDD</t>
  </si>
  <si>
    <t>MSKSEMI</t>
  </si>
  <si>
    <t>SHOU HAN</t>
  </si>
  <si>
    <t>JST</t>
  </si>
  <si>
    <t>HCTL</t>
  </si>
  <si>
    <t>XKB</t>
  </si>
  <si>
    <t>Samtec</t>
  </si>
  <si>
    <t>HANXIA</t>
  </si>
  <si>
    <t>hanxia</t>
  </si>
  <si>
    <t>Lian Xin Technology</t>
  </si>
  <si>
    <t>YJYCOIN</t>
  </si>
  <si>
    <t>PROD Tech</t>
  </si>
  <si>
    <t>Wurth Electronics</t>
  </si>
  <si>
    <t>LIZ Elec</t>
  </si>
  <si>
    <t>Royal Ohm</t>
  </si>
  <si>
    <t>RALEC</t>
  </si>
  <si>
    <t>VO</t>
  </si>
  <si>
    <t>Vishay Intertech</t>
  </si>
  <si>
    <t>FOJAN</t>
  </si>
  <si>
    <t>TA-I Tech</t>
  </si>
  <si>
    <t>TyoHM</t>
  </si>
  <si>
    <t>GUOXIN JIAPIN SEMICONDUCTOR</t>
  </si>
  <si>
    <t>Texas Instruments</t>
  </si>
  <si>
    <t>Espressif Systems</t>
  </si>
  <si>
    <t>Diodes</t>
  </si>
  <si>
    <t>Maxim</t>
  </si>
  <si>
    <t>KDS Daishinku</t>
  </si>
  <si>
    <t>22uF</t>
  </si>
  <si>
    <t>0.1uF</t>
  </si>
  <si>
    <t>4.7uF</t>
  </si>
  <si>
    <t>47uF</t>
  </si>
  <si>
    <t>6.8pF</t>
  </si>
  <si>
    <t>5.6nF</t>
  </si>
  <si>
    <t>8.2pF</t>
  </si>
  <si>
    <t>1.8nF</t>
  </si>
  <si>
    <t>10uF</t>
  </si>
  <si>
    <t>8.2nH</t>
  </si>
  <si>
    <t>2.2uH</t>
  </si>
  <si>
    <t>1K</t>
  </si>
  <si>
    <t>115K</t>
  </si>
  <si>
    <t>28.7K</t>
  </si>
  <si>
    <t>105K</t>
  </si>
  <si>
    <t>12.1k</t>
  </si>
  <si>
    <t>60.4K</t>
  </si>
  <si>
    <t>23.7K</t>
  </si>
  <si>
    <t>80.6K</t>
  </si>
  <si>
    <t>11.5K</t>
  </si>
  <si>
    <t>6mR</t>
  </si>
  <si>
    <t>10K</t>
  </si>
  <si>
    <t>2K</t>
  </si>
  <si>
    <t>32.768KHz</t>
  </si>
  <si>
    <t>Quantity</t>
  </si>
  <si>
    <t>Value</t>
  </si>
  <si>
    <t>Remarks</t>
  </si>
  <si>
    <t>MicroSD Connector</t>
  </si>
  <si>
    <t>Custom</t>
  </si>
  <si>
    <t>Custom (SMD)</t>
  </si>
  <si>
    <t>-</t>
  </si>
  <si>
    <t>Peripheral</t>
  </si>
  <si>
    <t>RT1062 Teensy 4.0 i.MX ARM® Cortex®-M7 MPU Embedded Evaluation Board</t>
  </si>
  <si>
    <t>DEV-15583</t>
  </si>
  <si>
    <t>SparkFun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</si>
</sst>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charset val="134"/>
      <scheme val="minor"/>
    </font>
    <font>
      <sz val="9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6"/>
  <sheetViews>
    <sheetView tabSelected="1" topLeftCell="A37" zoomScale="85" zoomScaleNormal="85" workbookViewId="0">
      <selection activeCell="E50" sqref="E50"/>
    </sheetView>
  </sheetViews>
  <sheetFormatPr defaultRowHeight="1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8.5703125" bestFit="1" customWidth="1"/>
  </cols>
  <sheetData>
    <row r="1" spans="1:11" ht="15.75" thickBot="1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>
      <c r="A2" s="1"/>
      <c r="B2" s="5" t="s">
        <v>0</v>
      </c>
      <c r="C2" s="5" t="s">
        <v>1</v>
      </c>
      <c r="D2" s="5" t="s">
        <v>21</v>
      </c>
      <c r="E2" s="6" t="s">
        <v>65</v>
      </c>
      <c r="F2" s="5" t="s">
        <v>109</v>
      </c>
      <c r="G2" s="6" t="s">
        <v>131</v>
      </c>
      <c r="H2" s="5" t="s">
        <v>167</v>
      </c>
      <c r="I2" s="6" t="s">
        <v>225</v>
      </c>
      <c r="J2" s="5" t="s">
        <v>224</v>
      </c>
      <c r="K2" s="5" t="s">
        <v>226</v>
      </c>
    </row>
    <row r="3" spans="1:11" ht="15.75" thickBot="1">
      <c r="A3" s="1"/>
      <c r="B3" s="11">
        <f>ROW(B3) - ROW($B$2)</f>
        <v>1</v>
      </c>
      <c r="C3" s="12" t="s">
        <v>2</v>
      </c>
      <c r="D3" s="7" t="s">
        <v>22</v>
      </c>
      <c r="E3" s="8" t="s">
        <v>66</v>
      </c>
      <c r="F3" s="7" t="s">
        <v>110</v>
      </c>
      <c r="G3" s="8" t="s">
        <v>132</v>
      </c>
      <c r="H3" s="7" t="s">
        <v>168</v>
      </c>
      <c r="I3" s="8" t="s">
        <v>200</v>
      </c>
      <c r="J3" s="7">
        <v>1</v>
      </c>
      <c r="K3" s="7"/>
    </row>
    <row r="4" spans="1:11" ht="15.75" thickBot="1">
      <c r="A4" s="1"/>
      <c r="B4" s="11">
        <f t="shared" ref="B4:B44" si="0">ROW(B4) - ROW($B$2)</f>
        <v>2</v>
      </c>
      <c r="C4" s="12" t="s">
        <v>3</v>
      </c>
      <c r="D4" s="9" t="s">
        <v>23</v>
      </c>
      <c r="E4" s="10" t="s">
        <v>67</v>
      </c>
      <c r="F4" s="9" t="s">
        <v>111</v>
      </c>
      <c r="G4" s="10" t="s">
        <v>133</v>
      </c>
      <c r="H4" s="9" t="s">
        <v>169</v>
      </c>
      <c r="I4" s="10" t="s">
        <v>201</v>
      </c>
      <c r="J4" s="9">
        <v>5</v>
      </c>
      <c r="K4" s="9"/>
    </row>
    <row r="5" spans="1:11" ht="15.75" thickBot="1">
      <c r="A5" s="1"/>
      <c r="B5" s="11">
        <f>ROW(B5) - ROW($B$2)</f>
        <v>3</v>
      </c>
      <c r="C5" s="12" t="s">
        <v>3</v>
      </c>
      <c r="D5" s="7" t="s">
        <v>24</v>
      </c>
      <c r="E5" s="8" t="s">
        <v>68</v>
      </c>
      <c r="F5" s="7" t="s">
        <v>111</v>
      </c>
      <c r="G5" s="8" t="s">
        <v>134</v>
      </c>
      <c r="H5" s="7" t="s">
        <v>170</v>
      </c>
      <c r="I5" s="8" t="s">
        <v>200</v>
      </c>
      <c r="J5" s="7">
        <v>1</v>
      </c>
      <c r="K5" s="7"/>
    </row>
    <row r="6" spans="1:11" ht="15.75" thickBot="1">
      <c r="A6" s="1"/>
      <c r="B6" s="11">
        <f t="shared" si="0"/>
        <v>4</v>
      </c>
      <c r="C6" s="12" t="s">
        <v>3</v>
      </c>
      <c r="D6" s="9" t="s">
        <v>25</v>
      </c>
      <c r="E6" s="10" t="s">
        <v>69</v>
      </c>
      <c r="F6" s="9" t="s">
        <v>112</v>
      </c>
      <c r="G6" s="10" t="s">
        <v>135</v>
      </c>
      <c r="H6" s="9" t="s">
        <v>170</v>
      </c>
      <c r="I6" s="10" t="s">
        <v>202</v>
      </c>
      <c r="J6" s="9">
        <v>4</v>
      </c>
      <c r="K6" s="9"/>
    </row>
    <row r="7" spans="1:11" ht="15.75" thickBot="1">
      <c r="A7" s="1"/>
      <c r="B7" s="11">
        <f>ROW(B7) - ROW($B$2)</f>
        <v>5</v>
      </c>
      <c r="C7" s="12" t="s">
        <v>3</v>
      </c>
      <c r="D7" s="7" t="s">
        <v>26</v>
      </c>
      <c r="E7" s="8" t="s">
        <v>70</v>
      </c>
      <c r="F7" s="7" t="s">
        <v>113</v>
      </c>
      <c r="G7" s="8" t="s">
        <v>136</v>
      </c>
      <c r="H7" s="7" t="s">
        <v>170</v>
      </c>
      <c r="I7" s="8" t="s">
        <v>203</v>
      </c>
      <c r="J7" s="7">
        <v>6</v>
      </c>
      <c r="K7" s="7"/>
    </row>
    <row r="8" spans="1:11" ht="15.75" thickBot="1">
      <c r="A8" s="1"/>
      <c r="B8" s="11">
        <f t="shared" si="0"/>
        <v>6</v>
      </c>
      <c r="C8" s="13" t="s">
        <v>3</v>
      </c>
      <c r="D8" s="9" t="s">
        <v>27</v>
      </c>
      <c r="E8" s="10" t="s">
        <v>71</v>
      </c>
      <c r="F8" s="9" t="s">
        <v>111</v>
      </c>
      <c r="G8" s="10" t="s">
        <v>137</v>
      </c>
      <c r="H8" s="9" t="s">
        <v>169</v>
      </c>
      <c r="I8" s="10" t="s">
        <v>204</v>
      </c>
      <c r="J8" s="9">
        <v>1</v>
      </c>
      <c r="K8" s="9"/>
    </row>
    <row r="9" spans="1:11" ht="15.75" thickBot="1">
      <c r="A9" s="1"/>
      <c r="B9" s="11">
        <f>ROW(B9) - ROW($B$2)</f>
        <v>7</v>
      </c>
      <c r="C9" s="12" t="s">
        <v>4</v>
      </c>
      <c r="D9" s="7" t="s">
        <v>28</v>
      </c>
      <c r="E9" s="8" t="s">
        <v>72</v>
      </c>
      <c r="F9" s="7" t="s">
        <v>111</v>
      </c>
      <c r="G9" s="8" t="s">
        <v>138</v>
      </c>
      <c r="H9" s="7" t="s">
        <v>169</v>
      </c>
      <c r="I9" s="8" t="s">
        <v>205</v>
      </c>
      <c r="J9" s="7">
        <v>1</v>
      </c>
      <c r="K9" s="7"/>
    </row>
    <row r="10" spans="1:11" ht="15.75" thickBot="1">
      <c r="A10" s="1"/>
      <c r="B10" s="11">
        <f t="shared" si="0"/>
        <v>8</v>
      </c>
      <c r="C10" s="13" t="s">
        <v>3</v>
      </c>
      <c r="D10" s="9" t="s">
        <v>29</v>
      </c>
      <c r="E10" s="10" t="s">
        <v>73</v>
      </c>
      <c r="F10" s="9" t="s">
        <v>111</v>
      </c>
      <c r="G10" s="10" t="s">
        <v>139</v>
      </c>
      <c r="H10" s="9" t="s">
        <v>169</v>
      </c>
      <c r="I10" s="10" t="s">
        <v>206</v>
      </c>
      <c r="J10" s="9">
        <v>1</v>
      </c>
      <c r="K10" s="9"/>
    </row>
    <row r="11" spans="1:11" ht="36.75" thickBot="1">
      <c r="A11" s="1"/>
      <c r="B11" s="11">
        <f>ROW(B11) - ROW($B$2)</f>
        <v>9</v>
      </c>
      <c r="C11" s="12" t="s">
        <v>3</v>
      </c>
      <c r="D11" s="7" t="s">
        <v>30</v>
      </c>
      <c r="E11" s="8" t="s">
        <v>74</v>
      </c>
      <c r="F11" s="7" t="s">
        <v>111</v>
      </c>
      <c r="G11" s="8" t="s">
        <v>140</v>
      </c>
      <c r="H11" s="7" t="s">
        <v>171</v>
      </c>
      <c r="I11" s="8" t="s">
        <v>207</v>
      </c>
      <c r="J11" s="7">
        <v>1</v>
      </c>
      <c r="K11" s="7"/>
    </row>
    <row r="12" spans="1:11" ht="15.75" thickBot="1">
      <c r="A12" s="1"/>
      <c r="B12" s="11">
        <f t="shared" si="0"/>
        <v>10</v>
      </c>
      <c r="C12" s="13" t="s">
        <v>3</v>
      </c>
      <c r="D12" s="9" t="s">
        <v>31</v>
      </c>
      <c r="E12" s="10" t="s">
        <v>75</v>
      </c>
      <c r="F12" s="9" t="s">
        <v>111</v>
      </c>
      <c r="G12" s="10" t="s">
        <v>141</v>
      </c>
      <c r="H12" s="9" t="s">
        <v>172</v>
      </c>
      <c r="I12" s="10" t="s">
        <v>208</v>
      </c>
      <c r="J12" s="9">
        <v>1</v>
      </c>
      <c r="K12" s="9"/>
    </row>
    <row r="13" spans="1:11" ht="15.75" thickBot="1">
      <c r="A13" s="1"/>
      <c r="B13" s="11">
        <f>ROW(B13) - ROW($B$2)</f>
        <v>11</v>
      </c>
      <c r="C13" s="13" t="s">
        <v>5</v>
      </c>
      <c r="D13" s="7" t="s">
        <v>32</v>
      </c>
      <c r="E13" s="8" t="s">
        <v>76</v>
      </c>
      <c r="F13" s="7" t="s">
        <v>114</v>
      </c>
      <c r="G13" s="8" t="s">
        <v>142</v>
      </c>
      <c r="H13" s="7" t="s">
        <v>173</v>
      </c>
      <c r="I13" s="8" t="s">
        <v>230</v>
      </c>
      <c r="J13" s="7">
        <v>2</v>
      </c>
      <c r="K13" s="7"/>
    </row>
    <row r="14" spans="1:11" ht="24.75" thickBot="1">
      <c r="A14" s="1"/>
      <c r="B14" s="11">
        <f t="shared" si="0"/>
        <v>12</v>
      </c>
      <c r="C14" s="13" t="s">
        <v>5</v>
      </c>
      <c r="D14" s="9" t="s">
        <v>33</v>
      </c>
      <c r="E14" s="10" t="s">
        <v>77</v>
      </c>
      <c r="F14" s="9" t="s">
        <v>115</v>
      </c>
      <c r="G14" s="10" t="s">
        <v>143</v>
      </c>
      <c r="H14" s="9" t="s">
        <v>174</v>
      </c>
      <c r="I14" s="10" t="s">
        <v>230</v>
      </c>
      <c r="J14" s="9">
        <v>1</v>
      </c>
      <c r="K14" s="9"/>
    </row>
    <row r="15" spans="1:11" ht="48.75" thickBot="1">
      <c r="A15" s="1"/>
      <c r="B15" s="11">
        <f>ROW(B15) - ROW($B$2)</f>
        <v>13</v>
      </c>
      <c r="C15" s="12" t="s">
        <v>6</v>
      </c>
      <c r="D15" s="7" t="s">
        <v>34</v>
      </c>
      <c r="E15" s="8" t="s">
        <v>78</v>
      </c>
      <c r="F15" s="7" t="s">
        <v>116</v>
      </c>
      <c r="G15" s="8" t="s">
        <v>116</v>
      </c>
      <c r="H15" s="7" t="s">
        <v>175</v>
      </c>
      <c r="I15" s="8" t="s">
        <v>230</v>
      </c>
      <c r="J15" s="7">
        <v>3</v>
      </c>
      <c r="K15" s="7"/>
    </row>
    <row r="16" spans="1:11" ht="15.75" thickBot="1">
      <c r="A16" s="1"/>
      <c r="B16" s="11">
        <f t="shared" si="0"/>
        <v>14</v>
      </c>
      <c r="C16" s="13" t="s">
        <v>7</v>
      </c>
      <c r="D16" s="9" t="s">
        <v>35</v>
      </c>
      <c r="E16" s="10" t="s">
        <v>79</v>
      </c>
      <c r="F16" s="9" t="s">
        <v>228</v>
      </c>
      <c r="G16" s="10" t="s">
        <v>117</v>
      </c>
      <c r="H16" s="9" t="s">
        <v>176</v>
      </c>
      <c r="I16" s="10" t="s">
        <v>230</v>
      </c>
      <c r="J16" s="9">
        <v>1</v>
      </c>
      <c r="K16" s="9"/>
    </row>
    <row r="17" spans="1:11" ht="60.75" thickBot="1">
      <c r="A17" s="1"/>
      <c r="B17" s="11">
        <f>ROW(B17) - ROW($B$2)</f>
        <v>15</v>
      </c>
      <c r="C17" s="12" t="s">
        <v>8</v>
      </c>
      <c r="D17" s="7" t="s">
        <v>36</v>
      </c>
      <c r="E17" s="8" t="s">
        <v>80</v>
      </c>
      <c r="F17" s="7" t="s">
        <v>228</v>
      </c>
      <c r="G17" s="8" t="s">
        <v>144</v>
      </c>
      <c r="H17" s="7" t="s">
        <v>177</v>
      </c>
      <c r="I17" s="8" t="s">
        <v>230</v>
      </c>
      <c r="J17" s="7">
        <v>2</v>
      </c>
      <c r="K17" s="7"/>
    </row>
    <row r="18" spans="1:11" ht="48.75" thickBot="1">
      <c r="A18" s="1"/>
      <c r="B18" s="11">
        <f t="shared" si="0"/>
        <v>16</v>
      </c>
      <c r="C18" s="13" t="s">
        <v>9</v>
      </c>
      <c r="D18" s="9" t="s">
        <v>37</v>
      </c>
      <c r="E18" s="10" t="s">
        <v>81</v>
      </c>
      <c r="F18" s="9" t="s">
        <v>228</v>
      </c>
      <c r="G18" s="10" t="s">
        <v>145</v>
      </c>
      <c r="H18" s="9" t="s">
        <v>178</v>
      </c>
      <c r="I18" s="10" t="s">
        <v>230</v>
      </c>
      <c r="J18" s="9">
        <v>1</v>
      </c>
      <c r="K18" s="9"/>
    </row>
    <row r="19" spans="1:11" ht="15.75" thickBot="1">
      <c r="A19" s="1"/>
      <c r="B19" s="11">
        <f>ROW(B19) - ROW($B$2)</f>
        <v>17</v>
      </c>
      <c r="C19" s="12" t="s">
        <v>10</v>
      </c>
      <c r="D19" s="7" t="s">
        <v>38</v>
      </c>
      <c r="E19" s="8" t="s">
        <v>82</v>
      </c>
      <c r="F19" s="9" t="s">
        <v>228</v>
      </c>
      <c r="G19" s="8" t="s">
        <v>118</v>
      </c>
      <c r="H19" s="7" t="s">
        <v>179</v>
      </c>
      <c r="I19" s="8" t="s">
        <v>230</v>
      </c>
      <c r="J19" s="7">
        <v>1</v>
      </c>
      <c r="K19" s="7"/>
    </row>
    <row r="20" spans="1:11" ht="15.75" thickBot="1">
      <c r="A20" s="1"/>
      <c r="B20" s="11">
        <f t="shared" si="0"/>
        <v>18</v>
      </c>
      <c r="C20" s="13" t="s">
        <v>11</v>
      </c>
      <c r="D20" s="9" t="s">
        <v>39</v>
      </c>
      <c r="E20" s="10" t="s">
        <v>83</v>
      </c>
      <c r="F20" s="9" t="s">
        <v>228</v>
      </c>
      <c r="G20" s="10" t="s">
        <v>146</v>
      </c>
      <c r="H20" s="9" t="s">
        <v>176</v>
      </c>
      <c r="I20" s="10" t="s">
        <v>230</v>
      </c>
      <c r="J20" s="9">
        <v>4</v>
      </c>
      <c r="K20" s="9"/>
    </row>
    <row r="21" spans="1:11" ht="24.75" thickBot="1">
      <c r="A21" s="1"/>
      <c r="B21" s="11">
        <f>ROW(B21) - ROW($B$2)</f>
        <v>19</v>
      </c>
      <c r="C21" s="12" t="s">
        <v>12</v>
      </c>
      <c r="D21" s="7" t="s">
        <v>40</v>
      </c>
      <c r="E21" s="8" t="s">
        <v>84</v>
      </c>
      <c r="F21" s="9" t="s">
        <v>228</v>
      </c>
      <c r="G21" s="8" t="s">
        <v>119</v>
      </c>
      <c r="H21" s="7" t="s">
        <v>180</v>
      </c>
      <c r="I21" s="8" t="s">
        <v>230</v>
      </c>
      <c r="J21" s="7">
        <v>1</v>
      </c>
      <c r="K21" s="7"/>
    </row>
    <row r="22" spans="1:11" ht="48.75" thickBot="1">
      <c r="A22" s="1"/>
      <c r="B22" s="11">
        <f t="shared" si="0"/>
        <v>20</v>
      </c>
      <c r="C22" s="13" t="s">
        <v>227</v>
      </c>
      <c r="D22" s="9" t="s">
        <v>41</v>
      </c>
      <c r="E22" s="10" t="s">
        <v>85</v>
      </c>
      <c r="F22" s="9" t="s">
        <v>228</v>
      </c>
      <c r="G22" s="10" t="s">
        <v>120</v>
      </c>
      <c r="H22" s="9" t="s">
        <v>181</v>
      </c>
      <c r="I22" s="10" t="s">
        <v>230</v>
      </c>
      <c r="J22" s="9">
        <v>1</v>
      </c>
      <c r="K22" s="9"/>
    </row>
    <row r="23" spans="1:11" ht="36.75" thickBot="1">
      <c r="A23" s="1"/>
      <c r="B23" s="11">
        <f>ROW(B23) - ROW($B$2)</f>
        <v>21</v>
      </c>
      <c r="C23" s="12" t="s">
        <v>13</v>
      </c>
      <c r="D23" s="7" t="s">
        <v>42</v>
      </c>
      <c r="E23" s="8" t="s">
        <v>86</v>
      </c>
      <c r="F23" s="7" t="s">
        <v>121</v>
      </c>
      <c r="G23" s="8" t="s">
        <v>121</v>
      </c>
      <c r="H23" s="7" t="s">
        <v>182</v>
      </c>
      <c r="I23" s="8" t="s">
        <v>230</v>
      </c>
      <c r="J23" s="7">
        <v>1</v>
      </c>
      <c r="K23" s="7"/>
    </row>
    <row r="24" spans="1:11" ht="24.75" thickBot="1">
      <c r="A24" s="1"/>
      <c r="B24" s="11">
        <f t="shared" si="0"/>
        <v>22</v>
      </c>
      <c r="C24" s="13" t="s">
        <v>14</v>
      </c>
      <c r="D24" s="9" t="s">
        <v>43</v>
      </c>
      <c r="E24" s="10" t="s">
        <v>87</v>
      </c>
      <c r="F24" s="9" t="s">
        <v>228</v>
      </c>
      <c r="G24" s="10" t="s">
        <v>122</v>
      </c>
      <c r="H24" s="9" t="s">
        <v>183</v>
      </c>
      <c r="I24" s="10" t="s">
        <v>209</v>
      </c>
      <c r="J24" s="9">
        <v>1</v>
      </c>
      <c r="K24" s="9"/>
    </row>
    <row r="25" spans="1:11" ht="36.75" thickBot="1">
      <c r="A25" s="1"/>
      <c r="B25" s="11">
        <f>ROW(B25) - ROW($B$2)</f>
        <v>23</v>
      </c>
      <c r="C25" s="12" t="s">
        <v>15</v>
      </c>
      <c r="D25" s="7" t="s">
        <v>44</v>
      </c>
      <c r="E25" s="8" t="s">
        <v>88</v>
      </c>
      <c r="F25" s="9" t="s">
        <v>228</v>
      </c>
      <c r="G25" s="8" t="s">
        <v>123</v>
      </c>
      <c r="H25" s="7" t="s">
        <v>184</v>
      </c>
      <c r="I25" s="8" t="s">
        <v>210</v>
      </c>
      <c r="J25" s="7">
        <v>1</v>
      </c>
      <c r="K25" s="7"/>
    </row>
    <row r="26" spans="1:11" ht="15.75" thickBot="1">
      <c r="A26" s="1"/>
      <c r="B26" s="11">
        <f t="shared" si="0"/>
        <v>24</v>
      </c>
      <c r="C26" s="13" t="s">
        <v>16</v>
      </c>
      <c r="D26" s="9" t="s">
        <v>45</v>
      </c>
      <c r="E26" s="10" t="s">
        <v>89</v>
      </c>
      <c r="F26" s="9" t="s">
        <v>124</v>
      </c>
      <c r="G26" s="10" t="s">
        <v>147</v>
      </c>
      <c r="H26" s="9" t="s">
        <v>185</v>
      </c>
      <c r="I26" s="10" t="s">
        <v>230</v>
      </c>
      <c r="J26" s="9">
        <v>1</v>
      </c>
      <c r="K26" s="9"/>
    </row>
    <row r="27" spans="1:11" ht="15.75" thickBot="1">
      <c r="A27" s="1"/>
      <c r="B27" s="11">
        <f>ROW(B27) - ROW($B$2)</f>
        <v>25</v>
      </c>
      <c r="C27" s="12" t="s">
        <v>17</v>
      </c>
      <c r="D27" s="7" t="s">
        <v>46</v>
      </c>
      <c r="E27" s="8" t="s">
        <v>90</v>
      </c>
      <c r="F27" s="7" t="s">
        <v>125</v>
      </c>
      <c r="G27" s="8" t="s">
        <v>148</v>
      </c>
      <c r="H27" s="7" t="s">
        <v>169</v>
      </c>
      <c r="I27" s="8" t="s">
        <v>211</v>
      </c>
      <c r="J27" s="7">
        <v>1</v>
      </c>
      <c r="K27" s="7"/>
    </row>
    <row r="28" spans="1:11" ht="36.75" thickBot="1">
      <c r="A28" s="1"/>
      <c r="B28" s="11">
        <f t="shared" si="0"/>
        <v>26</v>
      </c>
      <c r="C28" s="13" t="s">
        <v>17</v>
      </c>
      <c r="D28" s="9" t="s">
        <v>47</v>
      </c>
      <c r="E28" s="10" t="s">
        <v>91</v>
      </c>
      <c r="F28" s="9" t="s">
        <v>125</v>
      </c>
      <c r="G28" s="10" t="s">
        <v>149</v>
      </c>
      <c r="H28" s="9" t="s">
        <v>186</v>
      </c>
      <c r="I28" s="10" t="s">
        <v>212</v>
      </c>
      <c r="J28" s="9">
        <v>1</v>
      </c>
      <c r="K28" s="9"/>
    </row>
    <row r="29" spans="1:11" ht="24.75" thickBot="1">
      <c r="A29" s="1"/>
      <c r="B29" s="11">
        <f>ROW(B29) - ROW($B$2)</f>
        <v>27</v>
      </c>
      <c r="C29" s="12" t="s">
        <v>17</v>
      </c>
      <c r="D29" s="7" t="s">
        <v>48</v>
      </c>
      <c r="E29" s="8" t="s">
        <v>92</v>
      </c>
      <c r="F29" s="7" t="s">
        <v>125</v>
      </c>
      <c r="G29" s="8" t="s">
        <v>150</v>
      </c>
      <c r="H29" s="7" t="s">
        <v>187</v>
      </c>
      <c r="I29" s="8" t="s">
        <v>213</v>
      </c>
      <c r="J29" s="7">
        <v>1</v>
      </c>
      <c r="K29" s="7"/>
    </row>
    <row r="30" spans="1:11" ht="36.75" thickBot="1">
      <c r="A30" s="1"/>
      <c r="B30" s="11">
        <f t="shared" si="0"/>
        <v>28</v>
      </c>
      <c r="C30" s="13" t="s">
        <v>17</v>
      </c>
      <c r="D30" s="9" t="s">
        <v>49</v>
      </c>
      <c r="E30" s="10" t="s">
        <v>93</v>
      </c>
      <c r="F30" s="9" t="s">
        <v>125</v>
      </c>
      <c r="G30" s="10" t="s">
        <v>151</v>
      </c>
      <c r="H30" s="9" t="s">
        <v>188</v>
      </c>
      <c r="I30" s="10" t="s">
        <v>214</v>
      </c>
      <c r="J30" s="9">
        <v>1</v>
      </c>
      <c r="K30" s="9"/>
    </row>
    <row r="31" spans="1:11" ht="15.75" thickBot="1">
      <c r="A31" s="1"/>
      <c r="B31" s="11">
        <f>ROW(B31) - ROW($B$2)</f>
        <v>29</v>
      </c>
      <c r="C31" s="12" t="s">
        <v>17</v>
      </c>
      <c r="D31" s="7" t="s">
        <v>50</v>
      </c>
      <c r="E31" s="8" t="s">
        <v>94</v>
      </c>
      <c r="F31" s="7" t="s">
        <v>125</v>
      </c>
      <c r="G31" s="8" t="s">
        <v>152</v>
      </c>
      <c r="H31" s="7" t="s">
        <v>169</v>
      </c>
      <c r="I31" s="8" t="s">
        <v>215</v>
      </c>
      <c r="J31" s="7">
        <v>1</v>
      </c>
      <c r="K31" s="7"/>
    </row>
    <row r="32" spans="1:11" ht="36.75" thickBot="1">
      <c r="A32" s="1"/>
      <c r="B32" s="11">
        <f t="shared" si="0"/>
        <v>30</v>
      </c>
      <c r="C32" s="13" t="s">
        <v>17</v>
      </c>
      <c r="D32" s="9" t="s">
        <v>51</v>
      </c>
      <c r="E32" s="10" t="s">
        <v>95</v>
      </c>
      <c r="F32" s="9" t="s">
        <v>125</v>
      </c>
      <c r="G32" s="10" t="s">
        <v>153</v>
      </c>
      <c r="H32" s="9" t="s">
        <v>189</v>
      </c>
      <c r="I32" s="10" t="s">
        <v>216</v>
      </c>
      <c r="J32" s="9">
        <v>1</v>
      </c>
      <c r="K32" s="9"/>
    </row>
    <row r="33" spans="1:11" ht="15.75" thickBot="1">
      <c r="A33" s="1"/>
      <c r="B33" s="11">
        <f>ROW(B33) - ROW($B$2)</f>
        <v>31</v>
      </c>
      <c r="C33" s="12" t="s">
        <v>17</v>
      </c>
      <c r="D33" s="7" t="s">
        <v>52</v>
      </c>
      <c r="E33" s="8" t="s">
        <v>96</v>
      </c>
      <c r="F33" s="7" t="s">
        <v>125</v>
      </c>
      <c r="G33" s="8" t="s">
        <v>154</v>
      </c>
      <c r="H33" s="7" t="s">
        <v>169</v>
      </c>
      <c r="I33" s="8" t="s">
        <v>217</v>
      </c>
      <c r="J33" s="7">
        <v>1</v>
      </c>
      <c r="K33" s="7"/>
    </row>
    <row r="34" spans="1:11" ht="15.75" thickBot="1">
      <c r="A34" s="1"/>
      <c r="B34" s="11">
        <f t="shared" si="0"/>
        <v>32</v>
      </c>
      <c r="C34" s="13" t="s">
        <v>17</v>
      </c>
      <c r="D34" s="9" t="s">
        <v>53</v>
      </c>
      <c r="E34" s="10" t="s">
        <v>97</v>
      </c>
      <c r="F34" s="9" t="s">
        <v>125</v>
      </c>
      <c r="G34" s="10" t="s">
        <v>155</v>
      </c>
      <c r="H34" s="9" t="s">
        <v>190</v>
      </c>
      <c r="I34" s="10" t="s">
        <v>218</v>
      </c>
      <c r="J34" s="9">
        <v>1</v>
      </c>
      <c r="K34" s="9"/>
    </row>
    <row r="35" spans="1:11" ht="36.75" thickBot="1">
      <c r="A35" s="1"/>
      <c r="B35" s="11">
        <f>ROW(B35) - ROW($B$2)</f>
        <v>33</v>
      </c>
      <c r="C35" s="12" t="s">
        <v>17</v>
      </c>
      <c r="D35" s="7" t="s">
        <v>54</v>
      </c>
      <c r="E35" s="8" t="s">
        <v>98</v>
      </c>
      <c r="F35" s="7" t="s">
        <v>125</v>
      </c>
      <c r="G35" s="8" t="s">
        <v>156</v>
      </c>
      <c r="H35" s="7" t="s">
        <v>191</v>
      </c>
      <c r="I35" s="8" t="s">
        <v>219</v>
      </c>
      <c r="J35" s="7">
        <v>1</v>
      </c>
      <c r="K35" s="7"/>
    </row>
    <row r="36" spans="1:11" ht="36.75" thickBot="1">
      <c r="A36" s="1"/>
      <c r="B36" s="11">
        <f t="shared" si="0"/>
        <v>34</v>
      </c>
      <c r="C36" s="13" t="s">
        <v>17</v>
      </c>
      <c r="D36" s="9" t="s">
        <v>55</v>
      </c>
      <c r="E36" s="10" t="s">
        <v>99</v>
      </c>
      <c r="F36" s="9" t="s">
        <v>126</v>
      </c>
      <c r="G36" s="10" t="s">
        <v>157</v>
      </c>
      <c r="H36" s="9" t="s">
        <v>192</v>
      </c>
      <c r="I36" s="10" t="s">
        <v>220</v>
      </c>
      <c r="J36" s="9">
        <v>1</v>
      </c>
      <c r="K36" s="9"/>
    </row>
    <row r="37" spans="1:11" ht="15.75" thickBot="1">
      <c r="A37" s="1"/>
      <c r="B37" s="11">
        <f>ROW(B37) - ROW($B$2)</f>
        <v>35</v>
      </c>
      <c r="C37" s="12" t="s">
        <v>17</v>
      </c>
      <c r="D37" s="7" t="s">
        <v>56</v>
      </c>
      <c r="E37" s="8" t="s">
        <v>100</v>
      </c>
      <c r="F37" s="7" t="s">
        <v>125</v>
      </c>
      <c r="G37" s="8" t="s">
        <v>158</v>
      </c>
      <c r="H37" s="7" t="s">
        <v>169</v>
      </c>
      <c r="I37" s="8" t="s">
        <v>221</v>
      </c>
      <c r="J37" s="7">
        <v>5</v>
      </c>
      <c r="K37" s="7"/>
    </row>
    <row r="38" spans="1:11" ht="24.75" thickBot="1">
      <c r="A38" s="1"/>
      <c r="B38" s="11">
        <f t="shared" si="0"/>
        <v>36</v>
      </c>
      <c r="C38" s="13" t="s">
        <v>17</v>
      </c>
      <c r="D38" s="9" t="s">
        <v>57</v>
      </c>
      <c r="E38" s="10" t="s">
        <v>101</v>
      </c>
      <c r="F38" s="9" t="s">
        <v>125</v>
      </c>
      <c r="G38" s="10" t="s">
        <v>159</v>
      </c>
      <c r="H38" s="9" t="s">
        <v>193</v>
      </c>
      <c r="I38" s="10" t="s">
        <v>222</v>
      </c>
      <c r="J38" s="9">
        <v>1</v>
      </c>
      <c r="K38" s="9"/>
    </row>
    <row r="39" spans="1:11" ht="24.75" thickBot="1">
      <c r="A39" s="1"/>
      <c r="B39" s="11">
        <f>ROW(B39) - ROW($B$2)</f>
        <v>37</v>
      </c>
      <c r="C39" s="12" t="s">
        <v>18</v>
      </c>
      <c r="D39" s="7" t="s">
        <v>58</v>
      </c>
      <c r="E39" s="8" t="s">
        <v>102</v>
      </c>
      <c r="F39" s="7" t="s">
        <v>127</v>
      </c>
      <c r="G39" s="8" t="s">
        <v>160</v>
      </c>
      <c r="H39" s="7" t="s">
        <v>194</v>
      </c>
      <c r="I39" s="8" t="s">
        <v>230</v>
      </c>
      <c r="J39" s="7">
        <v>1</v>
      </c>
      <c r="K39" s="7"/>
    </row>
    <row r="40" spans="1:11" ht="26.25" thickBot="1">
      <c r="A40" s="1"/>
      <c r="B40" s="11">
        <f t="shared" si="0"/>
        <v>38</v>
      </c>
      <c r="C40" s="13" t="s">
        <v>19</v>
      </c>
      <c r="D40" s="9" t="s">
        <v>59</v>
      </c>
      <c r="E40" s="10" t="s">
        <v>103</v>
      </c>
      <c r="F40" s="9" t="s">
        <v>128</v>
      </c>
      <c r="G40" s="10" t="s">
        <v>161</v>
      </c>
      <c r="H40" s="9" t="s">
        <v>195</v>
      </c>
      <c r="I40" s="10" t="s">
        <v>230</v>
      </c>
      <c r="J40" s="9">
        <v>2</v>
      </c>
      <c r="K40" s="9"/>
    </row>
    <row r="41" spans="1:11" ht="24.75" thickBot="1">
      <c r="A41" s="1"/>
      <c r="B41" s="11">
        <f>ROW(B41) - ROW($B$2)</f>
        <v>39</v>
      </c>
      <c r="C41" s="12" t="s">
        <v>18</v>
      </c>
      <c r="D41" s="7" t="s">
        <v>60</v>
      </c>
      <c r="E41" s="8" t="s">
        <v>104</v>
      </c>
      <c r="F41" s="7" t="s">
        <v>229</v>
      </c>
      <c r="G41" s="8" t="s">
        <v>162</v>
      </c>
      <c r="H41" s="7" t="s">
        <v>196</v>
      </c>
      <c r="I41" s="8" t="s">
        <v>230</v>
      </c>
      <c r="J41" s="7">
        <v>1</v>
      </c>
      <c r="K41" s="7"/>
    </row>
    <row r="42" spans="1:11" ht="15.75" thickBot="1">
      <c r="A42" s="1"/>
      <c r="B42" s="11">
        <f t="shared" si="0"/>
        <v>40</v>
      </c>
      <c r="C42" s="13" t="s">
        <v>18</v>
      </c>
      <c r="D42" s="9" t="s">
        <v>61</v>
      </c>
      <c r="E42" s="10" t="s">
        <v>105</v>
      </c>
      <c r="F42" s="9" t="s">
        <v>129</v>
      </c>
      <c r="G42" s="10" t="s">
        <v>163</v>
      </c>
      <c r="H42" s="9" t="s">
        <v>197</v>
      </c>
      <c r="I42" s="10" t="s">
        <v>230</v>
      </c>
      <c r="J42" s="9">
        <v>1</v>
      </c>
      <c r="K42" s="9"/>
    </row>
    <row r="43" spans="1:11" ht="36.75" thickBot="1">
      <c r="A43" s="1"/>
      <c r="B43" s="11">
        <f>ROW(B43) - ROW($B$2)</f>
        <v>41</v>
      </c>
      <c r="C43" s="13" t="s">
        <v>18</v>
      </c>
      <c r="D43" s="7" t="s">
        <v>62</v>
      </c>
      <c r="E43" s="8" t="s">
        <v>106</v>
      </c>
      <c r="F43" s="7" t="s">
        <v>228</v>
      </c>
      <c r="G43" s="8" t="s">
        <v>164</v>
      </c>
      <c r="H43" s="7"/>
      <c r="I43" s="8" t="s">
        <v>230</v>
      </c>
      <c r="J43" s="7">
        <v>1</v>
      </c>
      <c r="K43" s="7"/>
    </row>
    <row r="44" spans="1:11" ht="15.75" thickBot="1">
      <c r="A44" s="1"/>
      <c r="B44" s="11">
        <f t="shared" si="0"/>
        <v>42</v>
      </c>
      <c r="C44" s="13" t="s">
        <v>18</v>
      </c>
      <c r="D44" s="9" t="s">
        <v>63</v>
      </c>
      <c r="E44" s="10" t="s">
        <v>107</v>
      </c>
      <c r="F44" s="9" t="s">
        <v>130</v>
      </c>
      <c r="G44" s="10" t="s">
        <v>165</v>
      </c>
      <c r="H44" s="9" t="s">
        <v>198</v>
      </c>
      <c r="I44" s="10" t="s">
        <v>230</v>
      </c>
      <c r="J44" s="9">
        <v>1</v>
      </c>
      <c r="K44" s="9"/>
    </row>
    <row r="45" spans="1:11" ht="15.75" thickBot="1">
      <c r="A45" s="1"/>
      <c r="B45" s="11">
        <f>ROW(B45) - ROW($B$2)</f>
        <v>43</v>
      </c>
      <c r="C45" s="12" t="s">
        <v>20</v>
      </c>
      <c r="D45" s="7" t="s">
        <v>64</v>
      </c>
      <c r="E45" s="8" t="s">
        <v>108</v>
      </c>
      <c r="F45" s="7" t="s">
        <v>228</v>
      </c>
      <c r="G45" s="8" t="s">
        <v>166</v>
      </c>
      <c r="H45" s="7" t="s">
        <v>199</v>
      </c>
      <c r="I45" s="8" t="s">
        <v>223</v>
      </c>
      <c r="J45" s="7">
        <v>1</v>
      </c>
      <c r="K45" s="7"/>
    </row>
    <row r="46" spans="1:11" ht="36.75" thickBot="1">
      <c r="B46" s="14">
        <f t="shared" ref="B46" si="1">ROW(B46)-ROW($B$2)</f>
        <v>44</v>
      </c>
      <c r="C46" s="12" t="s">
        <v>231</v>
      </c>
      <c r="D46" s="7" t="s">
        <v>230</v>
      </c>
      <c r="E46" s="7" t="s">
        <v>232</v>
      </c>
      <c r="F46" s="7" t="s">
        <v>230</v>
      </c>
      <c r="G46" s="7" t="s">
        <v>233</v>
      </c>
      <c r="H46" s="7" t="s">
        <v>234</v>
      </c>
      <c r="I46" s="16" t="s">
        <v>230</v>
      </c>
      <c r="J46" s="7">
        <v>1</v>
      </c>
      <c r="K46" s="15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MarsVirgo</cp:lastModifiedBy>
  <dcterms:created xsi:type="dcterms:W3CDTF">2019-12-12T10:34:26Z</dcterms:created>
  <dcterms:modified xsi:type="dcterms:W3CDTF">2024-09-18T20:11:36Z</dcterms:modified>
</cp:coreProperties>
</file>